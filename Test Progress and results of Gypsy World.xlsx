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G:\SQA Training\Class-3-15.02.22(Test Case Writing)\"/>
    </mc:Choice>
  </mc:AlternateContent>
  <xr:revisionPtr revIDLastSave="0" documentId="13_ncr:1_{BC5DC9C6-CDFF-4736-AD4C-F445B656A9C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est Cases for the Registration" sheetId="3" r:id="rId1"/>
    <sheet name="Test Cases for the Login" sheetId="4" r:id="rId2"/>
    <sheet name="Test Cases for the Message " sheetId="5" r:id="rId3"/>
    <sheet name="Test Cases for the WalLet" sheetId="6" r:id="rId4"/>
    <sheet name="Test Cases for the My Post" sheetId="7" r:id="rId5"/>
    <sheet name="Test Cases for the My Music" sheetId="8" r:id="rId6"/>
    <sheet name="Test Cases for the Help" sheetId="9" r:id="rId7"/>
    <sheet name="Test Cases for the Home" sheetId="10" r:id="rId8"/>
    <sheet name="Test Cases for the Explore" sheetId="11" r:id="rId9"/>
    <sheet name="Test Cases for the View Profile" sheetId="12" r:id="rId10"/>
  </sheets>
  <definedNames>
    <definedName name="mm">'Test Cases for the Registration'!$H$8</definedName>
    <definedName name="verify_package_Design">'Test Cases for the Registration'!$H$8</definedName>
  </definedNames>
  <calcPr calcId="191029"/>
</workbook>
</file>

<file path=xl/calcChain.xml><?xml version="1.0" encoding="utf-8"?>
<calcChain xmlns="http://schemas.openxmlformats.org/spreadsheetml/2006/main">
  <c r="I4" i="12" l="1"/>
  <c r="I3" i="12"/>
  <c r="I2" i="12"/>
  <c r="I5" i="12" s="1"/>
  <c r="I4" i="11"/>
  <c r="I2" i="11"/>
  <c r="I4" i="10"/>
  <c r="I4" i="9"/>
  <c r="I2" i="9"/>
  <c r="I4" i="8"/>
  <c r="I3" i="8"/>
  <c r="I2" i="8"/>
  <c r="I4" i="7"/>
  <c r="I3" i="7"/>
  <c r="I4" i="6"/>
  <c r="I2" i="6"/>
  <c r="I4" i="5"/>
  <c r="I2" i="5"/>
  <c r="I5" i="5" s="1"/>
  <c r="I2" i="4"/>
  <c r="I4" i="4"/>
  <c r="I3" i="4"/>
  <c r="I2" i="3"/>
  <c r="I5" i="11" l="1"/>
  <c r="I5" i="10"/>
  <c r="I5" i="9"/>
  <c r="I5" i="8"/>
  <c r="I5" i="7"/>
  <c r="I5" i="6"/>
  <c r="I5" i="4"/>
  <c r="I4" i="3"/>
  <c r="I3" i="3"/>
  <c r="I5" i="3" l="1"/>
</calcChain>
</file>

<file path=xl/sharedStrings.xml><?xml version="1.0" encoding="utf-8"?>
<sst xmlns="http://schemas.openxmlformats.org/spreadsheetml/2006/main" count="853" uniqueCount="392">
  <si>
    <t>PASS</t>
  </si>
  <si>
    <t>FAIL</t>
  </si>
  <si>
    <t>Remarks</t>
  </si>
  <si>
    <t>No</t>
  </si>
  <si>
    <t>Product Name</t>
  </si>
  <si>
    <t>TC Start Date</t>
  </si>
  <si>
    <t>TC Execution Start Date</t>
  </si>
  <si>
    <t>TEST CASE SUMMARY</t>
  </si>
  <si>
    <t>Module Name</t>
  </si>
  <si>
    <t>TC End Date</t>
  </si>
  <si>
    <t>TC Execution End Date</t>
  </si>
  <si>
    <t>Test Case Developed By</t>
  </si>
  <si>
    <t>Browser (tested)</t>
  </si>
  <si>
    <t>Developer Name (TL)</t>
  </si>
  <si>
    <t>Test Case Reviewed By</t>
  </si>
  <si>
    <t>Performance (tested)</t>
  </si>
  <si>
    <t>WARNING</t>
  </si>
  <si>
    <t>Test Executed by</t>
  </si>
  <si>
    <t>TOTAL</t>
  </si>
  <si>
    <t>Test Case ID/Name</t>
  </si>
  <si>
    <t>Test Case Description</t>
  </si>
  <si>
    <t>Expected Result</t>
  </si>
  <si>
    <t>Status</t>
  </si>
  <si>
    <t>Test Data</t>
  </si>
  <si>
    <t>Step Description</t>
  </si>
  <si>
    <t>Actual</t>
  </si>
  <si>
    <t>x</t>
  </si>
  <si>
    <t>28/4/2021</t>
  </si>
  <si>
    <t>28/04/2021</t>
  </si>
  <si>
    <t>Gypsy World</t>
  </si>
  <si>
    <t>Rahul Paul</t>
  </si>
  <si>
    <t>Register with valid full name with lower case</t>
  </si>
  <si>
    <t>1.  Valid full name with lower case .</t>
  </si>
  <si>
    <t xml:space="preserve">go to  gypsy app-&gt; tap on registration-&gt; fill the full name text bar -&gt; fill up with valid lower case name  -&gt;  Fill up to email -&gt;, create a password-&gt; tap on drop down to select counrty -&gt; tap dropdown to select category -&gt; select date of birth-&gt; select geneder-&gt; select the check box </t>
  </si>
  <si>
    <t xml:space="preserve">successful signup </t>
  </si>
  <si>
    <t xml:space="preserve">sign up successful </t>
  </si>
  <si>
    <t>TC_REGISTER_001</t>
  </si>
  <si>
    <t>TC_REGISTER_002</t>
  </si>
  <si>
    <t>Register with valid full name with Upper case</t>
  </si>
  <si>
    <t>1. Valid full 
   name with     upper case</t>
  </si>
  <si>
    <t xml:space="preserve">go to  gypsy app-&gt; tap on registration-&gt; fill the full name text bar -&gt; fill up with valid upper  case name  -&gt;  Fill up to email -&gt;, create a password-&gt; tap on drop down to select counrty -&gt; tap dropdown to select category -&gt; select date of birth-&gt; select geneder-&gt; select the check box </t>
  </si>
  <si>
    <t>TC_REGISTER_003</t>
  </si>
  <si>
    <t>Register with password contain numbers only</t>
  </si>
  <si>
    <t>1. 123456</t>
  </si>
  <si>
    <t>sign up successfully</t>
  </si>
  <si>
    <t>TC_REGISTER_004</t>
  </si>
  <si>
    <t>Register with password contain lowercase letters only</t>
  </si>
  <si>
    <t>gypsywrold</t>
  </si>
  <si>
    <t>TC_REGISTER_005</t>
  </si>
  <si>
    <t>Register with password contain uppercase letters only</t>
  </si>
  <si>
    <t>GYPSYWORLD</t>
  </si>
  <si>
    <t>TC_REGISTER_006</t>
  </si>
  <si>
    <t>register with previously registered email</t>
  </si>
  <si>
    <t>pevious email
 address</t>
  </si>
  <si>
    <t>a message " email address already exists"</t>
  </si>
  <si>
    <t>couldn't sign up and a message contains "email address already exists"</t>
  </si>
  <si>
    <t>TC_REGISTER_007</t>
  </si>
  <si>
    <t>register without selecting the terms &amp; conditions</t>
  </si>
  <si>
    <t>filled up with valid 
data to every field</t>
  </si>
  <si>
    <t>a message " Please accept privacy &amp; policy"</t>
  </si>
  <si>
    <t>couldn't sign up and a message contains "Please accept privacy &amp; policy"</t>
  </si>
  <si>
    <t>TC_REGISTER_008</t>
  </si>
  <si>
    <t xml:space="preserve">register as under 13 years old </t>
  </si>
  <si>
    <t>JAN 02,2045</t>
  </si>
  <si>
    <t>a message " You need to be at least 13 years old"</t>
  </si>
  <si>
    <t>couldn't sign up and a message contains "You need to be at least 13 years old"</t>
  </si>
  <si>
    <t>TC_REGISTER_009</t>
  </si>
  <si>
    <t>register with previously registered password</t>
  </si>
  <si>
    <t>a message should be alike " Your password is already registered,try another new"</t>
  </si>
  <si>
    <t>It successfully registered</t>
  </si>
  <si>
    <t>TC_REGISTER_010</t>
  </si>
  <si>
    <t>register with invalid email address</t>
  </si>
  <si>
    <t>t@gmil.com</t>
  </si>
  <si>
    <t>a message should be alike " Your email address is not correct.give a proper address"</t>
  </si>
  <si>
    <t xml:space="preserve">go to  gypsy app-&gt; tap on Login-&gt; fill up the password-&gt;  tap on the login </t>
  </si>
  <si>
    <t>successful login</t>
  </si>
  <si>
    <t xml:space="preserve">Logged in successfully successful </t>
  </si>
  <si>
    <t>TC_LOGIN_001</t>
  </si>
  <si>
    <t>TC_LOGIN_002</t>
  </si>
  <si>
    <t>1. j@gmil.com,
123456</t>
  </si>
  <si>
    <t>1.h@gmil.com
123456</t>
  </si>
  <si>
    <t>TC_LOGIN_003</t>
  </si>
  <si>
    <t>1. j@gmil.com,
1234567</t>
  </si>
  <si>
    <t xml:space="preserve">unsuccessful Login </t>
  </si>
  <si>
    <t>a message should be alike " incorrect password"</t>
  </si>
  <si>
    <t>invalid email or password</t>
  </si>
  <si>
    <t>TC_LOGIN_004</t>
  </si>
  <si>
    <t>1. rahul 
1234567</t>
  </si>
  <si>
    <t>a message should be alike " enter valid mail"</t>
  </si>
  <si>
    <t>enter valid mail</t>
  </si>
  <si>
    <t>TC_LOGIN_005</t>
  </si>
  <si>
    <t>Login with username and invalid password</t>
  </si>
  <si>
    <t>Login with valid email address and invalid password</t>
  </si>
  <si>
    <t>Login with invalid email address and valid password</t>
  </si>
  <si>
    <t>Login with valid email address and valid password</t>
  </si>
  <si>
    <t xml:space="preserve">Login with invalid email and
password with two characters </t>
  </si>
  <si>
    <t>1. rahul@hm.com
ra</t>
  </si>
  <si>
    <t>a message should be alike " enter invalid mail and password should be 6 characters"</t>
  </si>
  <si>
    <t>password should be 6 characters</t>
  </si>
  <si>
    <t>Chechking the forgot password</t>
  </si>
  <si>
    <t>1. previously registered email address</t>
  </si>
  <si>
    <t>go to  gypsy app-&gt; tap on  forgot password-&gt; fill up the email address-&gt;  tap on send button</t>
  </si>
  <si>
    <t>TC_LOGIN_006</t>
  </si>
  <si>
    <t>TC_LOGIN_007</t>
  </si>
  <si>
    <t>Login with GOOGLE icon</t>
  </si>
  <si>
    <t>1. google icon</t>
  </si>
  <si>
    <t xml:space="preserve">go to  gypsy app-&gt; tap on  google icon-&gt; </t>
  </si>
  <si>
    <t xml:space="preserve">Loging should be successful </t>
  </si>
  <si>
    <t>It successfully logged in</t>
  </si>
  <si>
    <t>Test Cases for the Message Module</t>
  </si>
  <si>
    <t>TC_MESSAGE_001</t>
  </si>
  <si>
    <t>Chechking the message vido chat</t>
  </si>
  <si>
    <t>1. videos chat open with user's face</t>
  </si>
  <si>
    <t>should be find the match</t>
  </si>
  <si>
    <t>Can not find the match</t>
  </si>
  <si>
    <t>TC_MESSAGE_002</t>
  </si>
  <si>
    <t>checking the message option while matching</t>
  </si>
  <si>
    <t xml:space="preserve">1. Hi </t>
  </si>
  <si>
    <t>go to  gypsy app-&gt; tap on Login-&gt; fill up the email -&gt;fill up the password-&gt;  tap on the login -&gt; Go to  Me-&gt; top on message-&gt; tap on the video chat</t>
  </si>
  <si>
    <t xml:space="preserve">successfully message post  </t>
  </si>
  <si>
    <t>Message has been post</t>
  </si>
  <si>
    <t>TC_MESSAGE_003</t>
  </si>
  <si>
    <t>checking to post emojis while matching in from the message section</t>
  </si>
  <si>
    <t>1. assests/gif/gif2.gif</t>
  </si>
  <si>
    <t>go to  gypsy app-&gt; tap on Login-&gt; fill up the email -&gt;fill up the password-&gt;  tap on the login -&gt; Go to  Me-&gt; top on message-&gt; tap on the video chat-&gt; chat to everyone-&gt;emojin</t>
  </si>
  <si>
    <t>a message should be a emojis</t>
  </si>
  <si>
    <t>emojis posted in a text</t>
  </si>
  <si>
    <t>TC_MESSAGE_004</t>
  </si>
  <si>
    <t>checking the room tools while matching</t>
  </si>
  <si>
    <t>1. camera, beauty, magic, mirror,Flip, HD, Sticker, Music</t>
  </si>
  <si>
    <t>go to  gypsy app-&gt; tap on Login-&gt; fill up the email -&gt;fill up the password-&gt;  tap on the login -&gt; Go to  Me-&gt; top on message-&gt; tap on the video chat-&gt; room tools icon</t>
  </si>
  <si>
    <t xml:space="preserve">should be perform the room tools individually </t>
  </si>
  <si>
    <t>not perfectly performing</t>
  </si>
  <si>
    <t>TC_WALLET_001</t>
  </si>
  <si>
    <t>Chechking the coins balance</t>
  </si>
  <si>
    <t>1. adding 20 on every tap</t>
  </si>
  <si>
    <t>go to  gypsy app-&gt; tap on Login-&gt; fill up the email -&gt;fill up the password-&gt;  tap on the login -&gt; wallet-&gt; top on recharge button-&gt; tap on 20 button</t>
  </si>
  <si>
    <t>33 coins should be added</t>
  </si>
  <si>
    <t>Successfully coins purchased</t>
  </si>
  <si>
    <t>TC_WALLET_002</t>
  </si>
  <si>
    <t xml:space="preserve">checking the coin history </t>
  </si>
  <si>
    <t>1. February 2023</t>
  </si>
  <si>
    <t>go to  gypsy app-&gt; tap on Login-&gt; fill up the email -&gt;fill up the password-&gt;  tap on the login -&gt; wallet-&gt; top on recharge button-&gt; tap on coin history icon</t>
  </si>
  <si>
    <t xml:space="preserve">successfully track the history  </t>
  </si>
  <si>
    <t>not tracking anything</t>
  </si>
  <si>
    <t>TC_WALLET_003</t>
  </si>
  <si>
    <t>checking the types</t>
  </si>
  <si>
    <t>1. all types, recharge gift sent</t>
  </si>
  <si>
    <t>go to  gypsy app-&gt; tap on Login-&gt; fill up the email -&gt;fill up the password-&gt;  tap on the login -&gt; wallet-&gt; top on recharge button-&gt; tap on coin history icon-&gt; tap on all types</t>
  </si>
  <si>
    <t>successfully choose the types</t>
  </si>
  <si>
    <t>can't choose the types</t>
  </si>
  <si>
    <t>checking the gift revenue</t>
  </si>
  <si>
    <t>1. coins</t>
  </si>
  <si>
    <t>go to  gypsy app-&gt; tap on Login-&gt; fill up the email -&gt;fill up the password-&gt;  tap on the login -&gt; wallet-&gt; top on gift revenue</t>
  </si>
  <si>
    <t>should be showing the accumulated coins</t>
  </si>
  <si>
    <t>this section showing nothing</t>
  </si>
  <si>
    <t>checking transactions</t>
  </si>
  <si>
    <t>go to  gypsy app-&gt; tap on Login-&gt; fill up the email -&gt;fill up the password-&gt;  tap on the login -&gt; wallet-&gt; top on gift revenue-&gt; tap on transaction</t>
  </si>
  <si>
    <t xml:space="preserve">successfully track the transaction history  </t>
  </si>
  <si>
    <t xml:space="preserve">
FAIL</t>
  </si>
  <si>
    <t>Test Cases for the WalLet Module</t>
  </si>
  <si>
    <t>Test Cases for the My Post Module</t>
  </si>
  <si>
    <t>1. test the post</t>
  </si>
  <si>
    <t>go to  gypsy app-&gt; tap on Login-&gt; fill up the email -&gt;fill up the password-&gt;  tap on the login -&gt; My Post Button</t>
  </si>
  <si>
    <t>post should be added</t>
  </si>
  <si>
    <t>Successfully posted</t>
  </si>
  <si>
    <t>Creating a text post</t>
  </si>
  <si>
    <t>Creating a image post</t>
  </si>
  <si>
    <t>1. image</t>
  </si>
  <si>
    <t>go to  gypsy app-&gt; tap on Login-&gt; fill up the email -&gt;fill up the password-&gt;  tap on the login -&gt; My Post Button-&gt;tap on photo icon</t>
  </si>
  <si>
    <t>image should be posted</t>
  </si>
  <si>
    <t>Creating a voice 
post</t>
  </si>
  <si>
    <t xml:space="preserve">1. voice </t>
  </si>
  <si>
    <t>go to  gypsy app-&gt; tap on Login-&gt; fill up the email -&gt;fill up the password-&gt;  tap on the login -&gt; My Post Button-&gt;tap on mic icon</t>
  </si>
  <si>
    <t>voices should be posted</t>
  </si>
  <si>
    <t>Creating a music 
post</t>
  </si>
  <si>
    <t>1. music</t>
  </si>
  <si>
    <t>go to  gypsy app-&gt; tap on Login-&gt; fill up the email -&gt;fill up the password-&gt;  tap on the login -&gt; My Post Button-&gt;tap on music icon-&gt; tap on search song field</t>
  </si>
  <si>
    <t>should be recommend songs</t>
  </si>
  <si>
    <t>not find any songs</t>
  </si>
  <si>
    <t>Creating a  video  
post</t>
  </si>
  <si>
    <t>1. video</t>
  </si>
  <si>
    <t>go to  gypsy app-&gt; tap on Login-&gt; fill up the email -&gt;fill up the password-&gt;  tap on the login -&gt; My Post Button-&gt;tap on video icon</t>
  </si>
  <si>
    <t>successfully posted the video</t>
  </si>
  <si>
    <t xml:space="preserve">
PASS</t>
  </si>
  <si>
    <t>Checking liked 
option</t>
  </si>
  <si>
    <t xml:space="preserve">
post</t>
  </si>
  <si>
    <t>go to  gypsy app-&gt; tap on Login-&gt; fill up the email -&gt;fill up the password-&gt;  tap on the login -&gt; My Post Button-&gt;tap on liked icon</t>
  </si>
  <si>
    <t>showing the posted post</t>
  </si>
  <si>
    <t>Successfully showing</t>
  </si>
  <si>
    <t>Test Cases for the My Music Module</t>
  </si>
  <si>
    <t>TC_MYPOST_001</t>
  </si>
  <si>
    <t>TC_MYPOST_002</t>
  </si>
  <si>
    <t>TC_MYPOST_003</t>
  </si>
  <si>
    <t>TC_MYPOST_004</t>
  </si>
  <si>
    <t>TC_MYPOST_005</t>
  </si>
  <si>
    <t>TC_MYMUSIC_001</t>
  </si>
  <si>
    <t>Creating playlist</t>
  </si>
  <si>
    <t>1. hi</t>
  </si>
  <si>
    <t>play list should be created</t>
  </si>
  <si>
    <t>Successfully created</t>
  </si>
  <si>
    <t>TC_MYMUSIC_002</t>
  </si>
  <si>
    <t>Adding songs to the playlist</t>
  </si>
  <si>
    <t>1. new magic wand</t>
  </si>
  <si>
    <t>go to  gypsy app-&gt; tap on Login-&gt; fill up the email -&gt;fill up the password-&gt;  tap on the login -&gt; My Music Button-&gt;tap on the playlist-&gt;tap on three dots to the corner-&gt; tap on the add more songs</t>
  </si>
  <si>
    <t>Successfully added</t>
  </si>
  <si>
    <t>more songs should be added</t>
  </si>
  <si>
    <t>TC_MYMUSIC_003</t>
  </si>
  <si>
    <t>go to  gypsy app-&gt; tap on Login-&gt; fill up the email -&gt;fill up the password-&gt;  tap on the login -&gt; My Music Button-&gt;tap on create  playlist</t>
  </si>
  <si>
    <t>remove a somg</t>
  </si>
  <si>
    <t>go to  gypsy app-&gt; tap on Login-&gt; fill up the email -&gt;fill up the password-&gt;  tap on the login -&gt; My Music Button-&gt;tap on the playlist-&gt;tap on three dots to the corner-&gt; remove the songs</t>
  </si>
  <si>
    <t>should be removed</t>
  </si>
  <si>
    <t>Successfully removed</t>
  </si>
  <si>
    <t>Test Cases for the Help &amp; Feedback Module</t>
  </si>
  <si>
    <t>TC_Help &amp; Feedback_001</t>
  </si>
  <si>
    <t>Checking the questions</t>
  </si>
  <si>
    <t>1. how can I get diamonds and beans</t>
  </si>
  <si>
    <t>go to  gypsy app-&gt; tap on Login-&gt; fill up the email -&gt;fill up the password-&gt;  tap on the login -&gt; tap on help&amp; feedback-</t>
  </si>
  <si>
    <t>quesntions should be answered</t>
  </si>
  <si>
    <t>answers is not showing</t>
  </si>
  <si>
    <t>TC_Help &amp; Feedback_002</t>
  </si>
  <si>
    <t>TC_Help &amp; Feedback_003</t>
  </si>
  <si>
    <t xml:space="preserve">
TC_Help &amp; Feedback_004
</t>
  </si>
  <si>
    <t xml:space="preserve">
TC_Help &amp; Feedback_005
</t>
  </si>
  <si>
    <t xml:space="preserve">
TC_Help &amp; Feedback_006
</t>
  </si>
  <si>
    <t>1.How do I cash out?</t>
  </si>
  <si>
    <t>1. How do I level Up?</t>
  </si>
  <si>
    <t>1. How do I make video call?</t>
  </si>
  <si>
    <t>1. I have been banned, 
what shouid I do?</t>
  </si>
  <si>
    <t>1. How can I contact
 customer service in my region</t>
  </si>
  <si>
    <t>Test Cases for the Home Module</t>
  </si>
  <si>
    <t>TC_HOME_001</t>
  </si>
  <si>
    <t>1. Text "HI"</t>
  </si>
  <si>
    <t>go to  gypsy app-&gt; tap on Login-&gt; fill up the email -&gt;fill up the password-&gt;  tap on the login -&gt; tap on home-&gt; tap on my story-&gt; select Text</t>
  </si>
  <si>
    <t>story posted successfully</t>
  </si>
  <si>
    <t>Checking the story section for text</t>
  </si>
  <si>
    <t>Checking the story section for image</t>
  </si>
  <si>
    <t>go to  gypsy app-&gt; tap on Login-&gt; fill up the email -&gt;fill up the password-&gt;  tap on the login -&gt; tap on home-&gt; tap on my story-&gt; select image</t>
  </si>
  <si>
    <t>413 request entity too large</t>
  </si>
  <si>
    <t>TC_HOME_002</t>
  </si>
  <si>
    <t>TC_HOME_003</t>
  </si>
  <si>
    <t>Checking the story section for music</t>
  </si>
  <si>
    <t>go to  gypsy app-&gt; tap on Login-&gt; fill up the email -&gt;fill up the password-&gt;  tap on the login -&gt; tap on home-&gt; tap on my story-&gt; select music</t>
  </si>
  <si>
    <t>music should be posted to the story</t>
  </si>
  <si>
    <t>image should be posted to the story</t>
  </si>
  <si>
    <t>story should be posted to the story</t>
  </si>
  <si>
    <t>TC_HOME_004</t>
  </si>
  <si>
    <t>Checking the Timer app</t>
  </si>
  <si>
    <t xml:space="preserve">
1. time</t>
  </si>
  <si>
    <t>go to  gypsy app-&gt; tap on Login-&gt; fill up the email -&gt;fill up the password-&gt;  tap on the login -&gt; tap on home-&gt; tap on timer icon</t>
  </si>
  <si>
    <t xml:space="preserve">timer should be count till 10 </t>
  </si>
  <si>
    <t>timer is not working properly</t>
  </si>
  <si>
    <t>TC_HOME_005</t>
  </si>
  <si>
    <t>Checking the notification option</t>
  </si>
  <si>
    <t>1. Accessories</t>
  </si>
  <si>
    <t xml:space="preserve">should be recommand something </t>
  </si>
  <si>
    <t>recommand
 successfully</t>
  </si>
  <si>
    <t>TC_HOME_007</t>
  </si>
  <si>
    <t>1. Apparel</t>
  </si>
  <si>
    <t>go to  gypsy app-&gt; tap on Login-&gt; fill up the email -&gt;fill up the password-&gt;  tap on the login -&gt; tap on home-&gt; tap on bell icon-&gt; tap on auction live house icon</t>
  </si>
  <si>
    <t>No data found</t>
  </si>
  <si>
    <t>TC_HOME_008</t>
  </si>
  <si>
    <t>1.Camera</t>
  </si>
  <si>
    <t>go to  gypsy app-&gt; tap on 
Login-&gt; fill up the email -&gt;
fill up the password-&gt;  
tap on the login -&gt; tap on home-&gt;
 tap on bell icon-&gt; tap on 
auction live house icon</t>
  </si>
  <si>
    <t xml:space="preserve">
FAIL</t>
  </si>
  <si>
    <t>TC_HOME_009</t>
  </si>
  <si>
    <t>Checking the 
notification option</t>
  </si>
  <si>
    <t>1. Computer</t>
  </si>
  <si>
    <t xml:space="preserve">
FAIL</t>
  </si>
  <si>
    <t>TC_HOME_010</t>
  </si>
  <si>
    <t>1. Electronics</t>
  </si>
  <si>
    <t>should be recommand,remind something without refreshing</t>
  </si>
  <si>
    <t xml:space="preserve"> data found after refreshing</t>
  </si>
  <si>
    <t>should be recommand,
remind something 
without refreshing</t>
  </si>
  <si>
    <t>data found after refreshing</t>
  </si>
  <si>
    <t xml:space="preserve"> data found after
 refreshing</t>
  </si>
  <si>
    <t>TC_HOME_011</t>
  </si>
  <si>
    <t>1. Mobile</t>
  </si>
  <si>
    <t>TC_HOME_012</t>
  </si>
  <si>
    <t>1. Sports</t>
  </si>
  <si>
    <t>TC_HOME_013</t>
  </si>
  <si>
    <t>1. Toys</t>
  </si>
  <si>
    <t>TC_HOME_014</t>
  </si>
  <si>
    <t>1. Vechicles</t>
  </si>
  <si>
    <t>1. rocky</t>
  </si>
  <si>
    <t>go to  gypsy app-&gt; tap on 
Login-&gt; fill up the email -&gt;
fill up the password-&gt;  
tap on the login -&gt; tap on home-&gt;tap on search icon</t>
  </si>
  <si>
    <t>should be found the account
accoding to the name</t>
  </si>
  <si>
    <t>Found the user name 
successfully</t>
  </si>
  <si>
    <t>Chechking the search 
field with an username with uppercase</t>
  </si>
  <si>
    <t>Chechking the search field with an username with a lower case</t>
  </si>
  <si>
    <t>1. ROCKY</t>
  </si>
  <si>
    <t>TC_HOME_015</t>
  </si>
  <si>
    <t>TC_HOME_016</t>
  </si>
  <si>
    <t>check to delete
the search history</t>
  </si>
  <si>
    <t>go to  gypsy app-&gt; tap on 
Login-&gt; fill up the email -&gt;fill up the password-&gt;  
tap on the login -&gt; tap on home-&gt;tap on search icon-&gt; tap on the delete icon</t>
  </si>
  <si>
    <t>should be deleted the search 
history</t>
  </si>
  <si>
    <t>Successfully deleted 
the search history</t>
  </si>
  <si>
    <t>TC_HOME_017</t>
  </si>
  <si>
    <t>TC_HOME_018</t>
  </si>
  <si>
    <t>checking the hot community 
opton</t>
  </si>
  <si>
    <t>1. Dev community</t>
  </si>
  <si>
    <t>go to  gypsy app-&gt; tap on 
Login-&gt; fill up the email -&gt;fill up the password-&gt;  
tap on the login -&gt; tap on home-&gt;tap on search icon-&gt;tap on the hot community option</t>
  </si>
  <si>
    <t>should be recommand 
users community</t>
  </si>
  <si>
    <t>Succesfully found suer's 
community</t>
  </si>
  <si>
    <t>checking to post as ab 
community member</t>
  </si>
  <si>
    <t>go to  gypsy app-&gt; tap on 
Login-&gt; fill up the email -&gt;fill up the password-&gt;  
tap on the login -&gt; tap on home-&gt;tap on search icon-&gt;tap on the hot community option-&gt; tap on the post</t>
  </si>
  <si>
    <t>can posted</t>
  </si>
  <si>
    <t>1. multi guest, single,
 auction liive house</t>
  </si>
  <si>
    <t xml:space="preserve">go to  gypsy app-&gt; tap on 
Login-&gt; fill up the email -&gt;fill up the password-&gt;  
tap on the login -&gt; tap on home-&gt;tap on sinti </t>
  </si>
  <si>
    <t xml:space="preserve">
can be posted as a member of 
community</t>
  </si>
  <si>
    <t>post should be visible</t>
  </si>
  <si>
    <t>content is not showing</t>
  </si>
  <si>
    <t>TC_HOME_019</t>
  </si>
  <si>
    <t>TC_HOME_020</t>
  </si>
  <si>
    <t>TC_HOME_021</t>
  </si>
  <si>
    <t>1. single</t>
  </si>
  <si>
    <t>go to  gypsy app-&gt; tap on 
Login-&gt; fill up the email -&gt;fill up the password-&gt;  
tap on the login -&gt; tap on home-&gt;tap on roma</t>
  </si>
  <si>
    <t>TC_HOME_022</t>
  </si>
  <si>
    <t xml:space="preserve">checking the Traveller </t>
  </si>
  <si>
    <t xml:space="preserve">checking sinti </t>
  </si>
  <si>
    <t>checking Roma</t>
  </si>
  <si>
    <t>1. Data</t>
  </si>
  <si>
    <t>go to  gypsy app-&gt; tap on 
Login-&gt; fill up the email -&gt;fill up the password-&gt;  
tap on the login -&gt; tap on home-&gt;tap on traveller</t>
  </si>
  <si>
    <t>Data not found</t>
  </si>
  <si>
    <t>checking the Mixed</t>
  </si>
  <si>
    <t>go to  gypsy app-&gt; tap on 
Login-&gt; fill up the email -&gt;fill up the password-&gt;  
tap on the login -&gt; tap on home-&gt;tap on mixed</t>
  </si>
  <si>
    <t>TC_HOME_023</t>
  </si>
  <si>
    <t xml:space="preserve">
PASS</t>
  </si>
  <si>
    <t>Test Cases for the Explore Module</t>
  </si>
  <si>
    <t>TC_EXPLORE_001</t>
  </si>
  <si>
    <t>Checking the countries &amp;
regions</t>
  </si>
  <si>
    <t>1. Bangladesh</t>
  </si>
  <si>
    <t>go to  gypsy app-&gt; tap on Login-&gt; fill up the email -&gt;fill up the password-&gt;  tap on the login button -&gt;tap on explore</t>
  </si>
  <si>
    <t>content should be visible</t>
  </si>
  <si>
    <t>content is no visible</t>
  </si>
  <si>
    <t>TC_EXPLORE_002</t>
  </si>
  <si>
    <t>1. germany</t>
  </si>
  <si>
    <t>TC_EXPLOR_003</t>
  </si>
  <si>
    <t>1. india</t>
  </si>
  <si>
    <t>TC_EXPLOR_004</t>
  </si>
  <si>
    <t>checking more option to find countires</t>
  </si>
  <si>
    <t>1. more</t>
  </si>
  <si>
    <t>go to  gypsy app-&gt; tap on Login-&gt; fill up the email -&gt;fill up the password-&gt;  tap on the login button -&gt;tap on explore-&gt; tap on more</t>
  </si>
  <si>
    <t xml:space="preserve">More countries &amp; region should be visible </t>
  </si>
  <si>
    <t>Test Cases for the View Profile Module</t>
  </si>
  <si>
    <t>TC_VIEWPROFILE_001</t>
  </si>
  <si>
    <t>Checking the view profile</t>
  </si>
  <si>
    <t>1. logged in user</t>
  </si>
  <si>
    <t>go to  gypsy app-&gt; tap on Login-&gt; fill up the email -&gt;fill up the password-&gt;  tap on the login button -&gt;tap on me-&gt; tap on view profile</t>
  </si>
  <si>
    <t>should be visible user's
posts in gypsy</t>
  </si>
  <si>
    <t>posts are visible</t>
  </si>
  <si>
    <t>TC_VIEWPROFILE_002</t>
  </si>
  <si>
    <t>1. user's registered info</t>
  </si>
  <si>
    <t>go to  gypsy app-&gt; tap on Login-&gt; fill up the email -&gt;fill up the password-&gt;  tap on the login button -&gt;tap on me-&gt; tap on view profile-&gt; tap on edit icon</t>
  </si>
  <si>
    <t>TC_VIEWPROFILE_003</t>
  </si>
  <si>
    <t>Checking to share the user's profile</t>
  </si>
  <si>
    <t>1. share,recent,friends,fans</t>
  </si>
  <si>
    <t>go to  gypsy app-&gt; tap on Login-&gt; fill up the email -&gt;fill up the password-&gt;  tap on the login button -&gt;tap on me-&gt; tap on view profile-&gt; tap on share icon</t>
  </si>
  <si>
    <t>user's profile should be sharable</t>
  </si>
  <si>
    <t>share button is not working</t>
  </si>
  <si>
    <t xml:space="preserve">checking the user's id can be copied </t>
  </si>
  <si>
    <t>1. copy</t>
  </si>
  <si>
    <t>go to  gypsy app-&gt; tap on Login-&gt; fill up the email -&gt;fill up the password-&gt;  tap on the login button -&gt;tap on me-&gt; tap on view profile-&gt; tap on copy button</t>
  </si>
  <si>
    <t>user's id should be copied</t>
  </si>
  <si>
    <t>copied successfully</t>
  </si>
  <si>
    <t>1. choosee from album</t>
  </si>
  <si>
    <t>go to  gypsy app-&gt; tap on Login-&gt; fill up the email -&gt;fill up the password-&gt;  tap on the login button -&gt;tap on me-&gt; tap on view profile-&gt; tap on edit icon-&gt;tap on radio button</t>
  </si>
  <si>
    <t>users should upload their photo from phone gallery</t>
  </si>
  <si>
    <t>nothing is working</t>
  </si>
  <si>
    <t>TC_VIEWPROFILE_004</t>
  </si>
  <si>
    <t>Checking to upload profile picture from album</t>
  </si>
  <si>
    <t>Checking to upload profile picture by taking photo</t>
  </si>
  <si>
    <t>1. camera</t>
  </si>
  <si>
    <t>users should upload their photo by taking photo through the camera</t>
  </si>
  <si>
    <t>TC_VIEWPROFILE_005</t>
  </si>
  <si>
    <t>go to  gypsy app-&gt; tap on 
Login-&gt; fill up the email -&gt;fill up the password-&gt;  
tap on the login -&gt; tap on video icon</t>
  </si>
  <si>
    <t>camera of phone 
should be open</t>
  </si>
  <si>
    <t>opened the live option</t>
  </si>
  <si>
    <t>Checking to edit user's profile section</t>
  </si>
  <si>
    <t>all the information of te user's should be editable</t>
  </si>
  <si>
    <t>use's information editable except birthday</t>
  </si>
  <si>
    <t>checking the video button</t>
  </si>
  <si>
    <t>TC_HOME_024</t>
  </si>
  <si>
    <t>checking the video button
being under 18</t>
  </si>
  <si>
    <t>camera of phone 
should not be opened</t>
  </si>
  <si>
    <t xml:space="preserve">you can't stream 
unless you are 18+ </t>
  </si>
  <si>
    <t>TC_VIEWPROFILE_006</t>
  </si>
  <si>
    <t>TC_MYPOST_006</t>
  </si>
  <si>
    <t>TC_WALLET_004</t>
  </si>
  <si>
    <t xml:space="preserve">TC_WALLET_005
</t>
  </si>
  <si>
    <t>Test Cases for the Registration Module</t>
  </si>
  <si>
    <t>Test Cases for the Login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</si>
</sst>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u/>
      <sz val="10"/>
      <color theme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FABF8F"/>
        <bgColor rgb="FFFABF8F"/>
      </patternFill>
    </fill>
    <fill>
      <patternFill patternType="solid">
        <fgColor rgb="FFFF0000"/>
        <bgColor rgb="FF00FF00"/>
      </patternFill>
    </fill>
    <fill>
      <patternFill patternType="solid">
        <fgColor rgb="FFFFFF00"/>
        <bgColor rgb="FFD6E3BC"/>
      </patternFill>
    </fill>
    <fill>
      <patternFill patternType="solid">
        <fgColor rgb="FFFF0000"/>
        <bgColor indexed="64"/>
      </patternFill>
    </fill>
    <fill>
      <patternFill patternType="solid">
        <fgColor rgb="FF89DF63"/>
        <bgColor rgb="FF00FF00"/>
      </patternFill>
    </fill>
    <fill>
      <patternFill patternType="solid">
        <fgColor rgb="FF5CCD29"/>
        <bgColor indexed="64"/>
      </patternFill>
    </fill>
    <fill>
      <patternFill patternType="solid">
        <fgColor rgb="FF89DF63"/>
        <bgColor indexed="64"/>
      </patternFill>
    </fill>
    <fill>
      <patternFill patternType="solid">
        <fgColor rgb="FF76DB4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8" xfId="0" quotePrefix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1" quotePrefix="1" applyFont="1" applyBorder="1" applyAlignment="1">
      <alignment vertical="center"/>
    </xf>
    <xf numFmtId="0" fontId="9" fillId="0" borderId="1" xfId="1" quotePrefix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8" xfId="0" quotePrefix="1" applyFont="1" applyBorder="1" applyAlignment="1">
      <alignment vertical="center" wrapText="1"/>
    </xf>
    <xf numFmtId="0" fontId="1" fillId="0" borderId="8" xfId="1" applyBorder="1" applyAlignment="1">
      <alignment vertical="center"/>
    </xf>
    <xf numFmtId="0" fontId="6" fillId="0" borderId="8" xfId="0" applyFont="1" applyBorder="1" applyAlignment="1">
      <alignment vertical="top"/>
    </xf>
    <xf numFmtId="0" fontId="6" fillId="0" borderId="8" xfId="0" quotePrefix="1" applyFont="1" applyBorder="1" applyAlignment="1">
      <alignment vertical="top" wrapText="1"/>
    </xf>
    <xf numFmtId="0" fontId="5" fillId="2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2" fillId="11" borderId="8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6" fillId="0" borderId="8" xfId="0" applyFont="1" applyBorder="1" applyAlignment="1">
      <alignment vertical="top" wrapText="1"/>
    </xf>
    <xf numFmtId="0" fontId="13" fillId="0" borderId="8" xfId="1" applyFont="1" applyBorder="1" applyAlignment="1">
      <alignment vertical="center"/>
    </xf>
    <xf numFmtId="0" fontId="3" fillId="12" borderId="8" xfId="0" applyFont="1" applyFill="1" applyBorder="1" applyAlignment="1">
      <alignment vertical="center"/>
    </xf>
    <xf numFmtId="0" fontId="3" fillId="9" borderId="8" xfId="0" applyFont="1" applyFill="1" applyBorder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0" fontId="12" fillId="0" borderId="0" xfId="0" applyFont="1"/>
    <xf numFmtId="0" fontId="5" fillId="0" borderId="9" xfId="0" applyFont="1" applyBorder="1" applyAlignment="1">
      <alignment vertical="center" wrapText="1"/>
    </xf>
    <xf numFmtId="17" fontId="0" fillId="0" borderId="0" xfId="0" applyNumberFormat="1" applyAlignment="1">
      <alignment horizontal="left"/>
    </xf>
    <xf numFmtId="0" fontId="11" fillId="9" borderId="0" xfId="0" applyFont="1" applyFill="1" applyAlignment="1">
      <alignment horizontal="left" vertical="top" wrapText="1"/>
    </xf>
    <xf numFmtId="0" fontId="2" fillId="9" borderId="8" xfId="0" applyFont="1" applyFill="1" applyBorder="1" applyAlignment="1">
      <alignment vertical="center" wrapText="1"/>
    </xf>
    <xf numFmtId="17" fontId="12" fillId="0" borderId="0" xfId="0" applyNumberFormat="1" applyFont="1" applyAlignment="1">
      <alignment horizontal="left"/>
    </xf>
    <xf numFmtId="0" fontId="11" fillId="13" borderId="0" xfId="0" applyFont="1" applyFill="1" applyAlignment="1">
      <alignment horizontal="left" vertical="top" wrapText="1"/>
    </xf>
    <xf numFmtId="0" fontId="11" fillId="13" borderId="0" xfId="0" applyFont="1" applyFill="1"/>
    <xf numFmtId="0" fontId="5" fillId="0" borderId="10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1" fillId="9" borderId="0" xfId="0" applyFont="1" applyFill="1" applyAlignment="1">
      <alignment vertical="center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11" borderId="0" xfId="0" applyFont="1" applyFill="1" applyAlignment="1">
      <alignment vertical="center"/>
    </xf>
    <xf numFmtId="0" fontId="12" fillId="0" borderId="0" xfId="0" applyFont="1" applyAlignment="1">
      <alignment horizontal="left" vertical="top"/>
    </xf>
    <xf numFmtId="0" fontId="14" fillId="9" borderId="0" xfId="0" applyFont="1" applyFill="1" applyAlignment="1">
      <alignment horizontal="left" vertical="top" wrapText="1"/>
    </xf>
    <xf numFmtId="0" fontId="11" fillId="9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11" fillId="9" borderId="0" xfId="0" applyFont="1" applyFill="1"/>
    <xf numFmtId="0" fontId="11" fillId="11" borderId="0" xfId="0" applyFont="1" applyFill="1" applyAlignment="1">
      <alignment horizontal="left" vertical="top" wrapText="1"/>
    </xf>
    <xf numFmtId="0" fontId="6" fillId="0" borderId="8" xfId="0" quotePrefix="1" applyFont="1" applyBorder="1" applyAlignment="1">
      <alignment horizontal="left" vertical="top" wrapText="1"/>
    </xf>
    <xf numFmtId="0" fontId="5" fillId="0" borderId="10" xfId="0" applyFont="1" applyBorder="1" applyAlignment="1">
      <alignment vertical="center"/>
    </xf>
    <xf numFmtId="0" fontId="15" fillId="9" borderId="0" xfId="0" applyFont="1" applyFill="1" applyAlignment="1">
      <alignment horizontal="left" vertical="center"/>
    </xf>
    <xf numFmtId="0" fontId="12" fillId="0" borderId="0" xfId="0" applyFont="1" applyAlignment="1">
      <alignment vertical="center"/>
    </xf>
    <xf numFmtId="0" fontId="15" fillId="11" borderId="0" xfId="0" applyFont="1" applyFill="1" applyAlignment="1">
      <alignment horizontal="left" vertical="center"/>
    </xf>
    <xf numFmtId="0" fontId="11" fillId="11" borderId="0" xfId="0" applyFont="1" applyFill="1" applyAlignment="1">
      <alignment horizontal="left" vertical="center"/>
    </xf>
    <xf numFmtId="0" fontId="2" fillId="6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4" borderId="4" xfId="0" applyFont="1" applyFill="1" applyBorder="1" applyAlignment="1">
      <alignment vertical="center" wrapText="1"/>
    </xf>
    <xf numFmtId="12" fontId="2" fillId="4" borderId="4" xfId="0" applyNumberFormat="1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96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5CCD29"/>
      <color rgb="FF76DB49"/>
      <color rgb="FF89DF63"/>
      <color rgb="FFCAF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@gm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002060"/>
  </sheetPr>
  <dimension ref="A1:I979"/>
  <sheetViews>
    <sheetView showGridLines="0" zoomScaleNormal="100" workbookViewId="0">
      <pane ySplit="6" topLeftCell="A7" activePane="bottomLeft" state="frozen"/>
      <selection pane="bottomLeft" activeCell="A2" sqref="A2:B2"/>
    </sheetView>
  </sheetViews>
  <sheetFormatPr defaultColWidth="14.44140625" defaultRowHeight="15" customHeight="1" x14ac:dyDescent="0.25"/>
  <cols>
    <col min="1" max="1" width="14.5546875" style="7" customWidth="1"/>
    <col min="2" max="2" width="10.5546875" style="7" customWidth="1"/>
    <col min="3" max="3" width="23.88671875" style="7" customWidth="1"/>
    <col min="4" max="4" width="34.88671875" style="7" customWidth="1"/>
    <col min="5" max="5" width="37.88671875" style="7" customWidth="1"/>
    <col min="6" max="6" width="28.33203125" style="7" customWidth="1"/>
    <col min="7" max="7" width="30" style="7" customWidth="1"/>
    <col min="8" max="8" width="17.77734375" style="7" customWidth="1"/>
    <col min="9" max="9" width="25" style="7" customWidth="1"/>
    <col min="10" max="10" width="17.33203125" style="7" customWidth="1"/>
    <col min="11" max="16384" width="14.44140625" style="7"/>
  </cols>
  <sheetData>
    <row r="1" spans="1:9" ht="18" customHeight="1" x14ac:dyDescent="0.25">
      <c r="A1" s="84" t="s">
        <v>4</v>
      </c>
      <c r="B1" s="81"/>
      <c r="C1" s="1" t="s">
        <v>29</v>
      </c>
      <c r="D1" s="4" t="s">
        <v>5</v>
      </c>
      <c r="E1" s="5">
        <v>44959</v>
      </c>
      <c r="F1" s="6" t="s">
        <v>6</v>
      </c>
      <c r="G1" s="5">
        <v>44959</v>
      </c>
      <c r="H1" s="85" t="s">
        <v>7</v>
      </c>
      <c r="I1" s="81"/>
    </row>
    <row r="2" spans="1:9" ht="55.2" x14ac:dyDescent="0.25">
      <c r="A2" s="83" t="s">
        <v>8</v>
      </c>
      <c r="B2" s="81"/>
      <c r="C2" s="2" t="s">
        <v>390</v>
      </c>
      <c r="D2" s="4" t="s">
        <v>9</v>
      </c>
      <c r="E2" s="5" t="s">
        <v>27</v>
      </c>
      <c r="F2" s="8" t="s">
        <v>10</v>
      </c>
      <c r="G2" s="5" t="s">
        <v>28</v>
      </c>
      <c r="H2" s="4" t="s">
        <v>0</v>
      </c>
      <c r="I2" s="41">
        <f>COUNTIF(G7:G47, "PASS")</f>
        <v>8</v>
      </c>
    </row>
    <row r="3" spans="1:9" ht="18" customHeight="1" x14ac:dyDescent="0.25">
      <c r="A3" s="83"/>
      <c r="B3" s="81"/>
      <c r="C3" s="2"/>
      <c r="D3" s="9" t="s">
        <v>11</v>
      </c>
      <c r="E3" s="3" t="s">
        <v>30</v>
      </c>
      <c r="F3" s="1" t="s">
        <v>12</v>
      </c>
      <c r="G3" s="2">
        <v>1</v>
      </c>
      <c r="H3" s="10" t="s">
        <v>1</v>
      </c>
      <c r="I3" s="21">
        <f>COUNTIF(G8:G47, "Fail")</f>
        <v>2</v>
      </c>
    </row>
    <row r="4" spans="1:9" ht="18" customHeight="1" x14ac:dyDescent="0.25">
      <c r="A4" s="83" t="s">
        <v>13</v>
      </c>
      <c r="B4" s="81"/>
      <c r="C4" s="2" t="s">
        <v>26</v>
      </c>
      <c r="D4" s="9" t="s">
        <v>14</v>
      </c>
      <c r="E4" s="2" t="s">
        <v>30</v>
      </c>
      <c r="F4" s="1" t="s">
        <v>15</v>
      </c>
      <c r="G4" s="11" t="s">
        <v>3</v>
      </c>
      <c r="H4" s="4" t="s">
        <v>16</v>
      </c>
      <c r="I4" s="22">
        <f>COUNTIF(G8:G47, "WARNING")</f>
        <v>0</v>
      </c>
    </row>
    <row r="5" spans="1:9" ht="18" customHeight="1" x14ac:dyDescent="0.25">
      <c r="A5" s="80" t="s">
        <v>17</v>
      </c>
      <c r="B5" s="81"/>
      <c r="C5" s="80"/>
      <c r="D5" s="82"/>
      <c r="E5" s="82"/>
      <c r="F5" s="82"/>
      <c r="G5" s="81"/>
      <c r="H5" s="12" t="s">
        <v>18</v>
      </c>
      <c r="I5" s="23">
        <f>SUM(I2:I4:I3)</f>
        <v>10</v>
      </c>
    </row>
    <row r="6" spans="1:9" ht="18" customHeight="1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</row>
    <row r="7" spans="1:9" ht="60.6" customHeight="1" x14ac:dyDescent="0.25">
      <c r="A7" s="15" t="s">
        <v>36</v>
      </c>
      <c r="B7" s="16" t="s">
        <v>31</v>
      </c>
      <c r="C7" s="36" t="s">
        <v>32</v>
      </c>
      <c r="D7" s="17" t="s">
        <v>33</v>
      </c>
      <c r="E7" s="16" t="s">
        <v>34</v>
      </c>
      <c r="F7" s="17" t="s">
        <v>35</v>
      </c>
      <c r="G7" s="18" t="s">
        <v>0</v>
      </c>
      <c r="H7" s="37"/>
    </row>
    <row r="8" spans="1:9" ht="96.6" x14ac:dyDescent="0.25">
      <c r="A8" s="15" t="s">
        <v>37</v>
      </c>
      <c r="B8" s="16" t="s">
        <v>38</v>
      </c>
      <c r="C8" s="39" t="s">
        <v>39</v>
      </c>
      <c r="D8" s="17" t="s">
        <v>40</v>
      </c>
      <c r="E8" s="16" t="s">
        <v>34</v>
      </c>
      <c r="F8" s="17" t="s">
        <v>44</v>
      </c>
      <c r="G8" s="18" t="s">
        <v>0</v>
      </c>
      <c r="H8" s="37"/>
    </row>
    <row r="9" spans="1:9" ht="96.6" x14ac:dyDescent="0.25">
      <c r="A9" s="15" t="s">
        <v>41</v>
      </c>
      <c r="B9" s="16" t="s">
        <v>42</v>
      </c>
      <c r="C9" s="27" t="s">
        <v>43</v>
      </c>
      <c r="D9" s="16" t="s">
        <v>40</v>
      </c>
      <c r="E9" s="16" t="s">
        <v>34</v>
      </c>
      <c r="F9" s="16" t="s">
        <v>44</v>
      </c>
      <c r="G9" s="40" t="s">
        <v>0</v>
      </c>
      <c r="H9" s="32"/>
    </row>
    <row r="10" spans="1:9" ht="96.6" x14ac:dyDescent="0.25">
      <c r="A10" s="19" t="s">
        <v>45</v>
      </c>
      <c r="B10" s="16" t="s">
        <v>46</v>
      </c>
      <c r="C10" s="38" t="s">
        <v>47</v>
      </c>
      <c r="D10" s="16" t="s">
        <v>40</v>
      </c>
      <c r="E10" s="16" t="s">
        <v>34</v>
      </c>
      <c r="F10" s="16" t="s">
        <v>44</v>
      </c>
      <c r="G10" s="42" t="s">
        <v>0</v>
      </c>
      <c r="H10" s="32"/>
    </row>
    <row r="11" spans="1:9" ht="96.6" x14ac:dyDescent="0.25">
      <c r="A11" s="15" t="s">
        <v>48</v>
      </c>
      <c r="B11" s="16" t="s">
        <v>49</v>
      </c>
      <c r="C11" s="27" t="s">
        <v>50</v>
      </c>
      <c r="D11" s="17" t="s">
        <v>40</v>
      </c>
      <c r="E11" s="16" t="s">
        <v>34</v>
      </c>
      <c r="F11" s="17" t="s">
        <v>44</v>
      </c>
      <c r="G11" s="18" t="s">
        <v>0</v>
      </c>
      <c r="H11" s="33"/>
    </row>
    <row r="12" spans="1:9" ht="96.6" x14ac:dyDescent="0.25">
      <c r="A12" s="19" t="s">
        <v>51</v>
      </c>
      <c r="B12" s="16" t="s">
        <v>52</v>
      </c>
      <c r="C12" s="43" t="s">
        <v>53</v>
      </c>
      <c r="D12" s="16" t="s">
        <v>40</v>
      </c>
      <c r="E12" s="16" t="s">
        <v>54</v>
      </c>
      <c r="F12" s="17" t="s">
        <v>55</v>
      </c>
      <c r="G12" s="44" t="s">
        <v>0</v>
      </c>
      <c r="H12" s="32"/>
    </row>
    <row r="13" spans="1:9" ht="96.6" x14ac:dyDescent="0.25">
      <c r="A13" s="19" t="s">
        <v>56</v>
      </c>
      <c r="B13" s="16" t="s">
        <v>57</v>
      </c>
      <c r="C13" s="43" t="s">
        <v>58</v>
      </c>
      <c r="D13" s="16" t="s">
        <v>40</v>
      </c>
      <c r="E13" s="16" t="s">
        <v>59</v>
      </c>
      <c r="F13" s="17" t="s">
        <v>60</v>
      </c>
      <c r="G13" s="44" t="s">
        <v>0</v>
      </c>
      <c r="H13" s="32"/>
    </row>
    <row r="14" spans="1:9" ht="96.6" x14ac:dyDescent="0.25">
      <c r="A14" s="15" t="s">
        <v>61</v>
      </c>
      <c r="B14" s="16" t="s">
        <v>62</v>
      </c>
      <c r="C14" s="26" t="s">
        <v>63</v>
      </c>
      <c r="D14" s="17" t="s">
        <v>40</v>
      </c>
      <c r="E14" s="16" t="s">
        <v>64</v>
      </c>
      <c r="F14" s="17" t="s">
        <v>65</v>
      </c>
      <c r="G14" s="18" t="s">
        <v>0</v>
      </c>
      <c r="H14" s="33"/>
    </row>
    <row r="15" spans="1:9" ht="96.6" x14ac:dyDescent="0.25">
      <c r="A15" s="20" t="s">
        <v>66</v>
      </c>
      <c r="B15" s="17" t="s">
        <v>67</v>
      </c>
      <c r="C15" s="28">
        <v>123456</v>
      </c>
      <c r="D15" s="16" t="s">
        <v>40</v>
      </c>
      <c r="E15" s="17" t="s">
        <v>68</v>
      </c>
      <c r="F15" s="17" t="s">
        <v>69</v>
      </c>
      <c r="G15" s="45" t="s">
        <v>1</v>
      </c>
      <c r="H15" s="34"/>
    </row>
    <row r="16" spans="1:9" ht="96.6" x14ac:dyDescent="0.25">
      <c r="A16" s="15" t="s">
        <v>70</v>
      </c>
      <c r="B16" s="17" t="s">
        <v>71</v>
      </c>
      <c r="C16" s="37" t="s">
        <v>72</v>
      </c>
      <c r="D16" s="16" t="s">
        <v>40</v>
      </c>
      <c r="E16" s="17" t="s">
        <v>73</v>
      </c>
      <c r="F16" s="17" t="s">
        <v>69</v>
      </c>
      <c r="G16" s="45" t="s">
        <v>1</v>
      </c>
      <c r="H16" s="34"/>
    </row>
    <row r="17" spans="1:8" ht="13.8" x14ac:dyDescent="0.25">
      <c r="A17" s="15"/>
      <c r="B17" s="17"/>
      <c r="C17" s="28"/>
      <c r="D17" s="16"/>
      <c r="E17" s="17"/>
      <c r="F17" s="17"/>
      <c r="G17" s="17"/>
      <c r="H17" s="34"/>
    </row>
    <row r="18" spans="1:8" ht="13.8" x14ac:dyDescent="0.25">
      <c r="A18" s="15"/>
      <c r="B18" s="16"/>
      <c r="C18" s="24"/>
      <c r="D18" s="17"/>
      <c r="E18" s="16"/>
      <c r="F18" s="17"/>
      <c r="G18" s="18"/>
      <c r="H18" s="35"/>
    </row>
    <row r="19" spans="1:8" ht="13.8" x14ac:dyDescent="0.25">
      <c r="A19" s="20"/>
      <c r="B19" s="17"/>
      <c r="C19" s="28"/>
      <c r="D19" s="16"/>
      <c r="E19" s="17"/>
      <c r="F19" s="17"/>
      <c r="G19" s="17"/>
      <c r="H19" s="34"/>
    </row>
    <row r="20" spans="1:8" ht="13.8" x14ac:dyDescent="0.25">
      <c r="A20" s="15"/>
      <c r="B20" s="16"/>
      <c r="C20" s="28"/>
      <c r="D20" s="16"/>
      <c r="E20" s="16"/>
      <c r="F20" s="17"/>
      <c r="G20" s="17"/>
      <c r="H20" s="34"/>
    </row>
    <row r="21" spans="1:8" ht="13.8" x14ac:dyDescent="0.25">
      <c r="A21" s="15"/>
      <c r="B21" s="16"/>
      <c r="C21" s="24"/>
      <c r="D21" s="17"/>
      <c r="E21" s="16"/>
      <c r="F21" s="17"/>
      <c r="G21" s="18"/>
      <c r="H21" s="35"/>
    </row>
    <row r="22" spans="1:8" ht="13.8" x14ac:dyDescent="0.25">
      <c r="A22" s="20"/>
      <c r="B22" s="17"/>
      <c r="C22" s="28"/>
      <c r="D22" s="16"/>
      <c r="E22" s="17"/>
      <c r="F22" s="17"/>
      <c r="G22" s="17"/>
      <c r="H22" s="34"/>
    </row>
    <row r="23" spans="1:8" ht="13.8" x14ac:dyDescent="0.25">
      <c r="A23" s="15"/>
      <c r="B23" s="16"/>
      <c r="C23" s="28"/>
      <c r="D23" s="16"/>
      <c r="E23" s="16"/>
      <c r="F23" s="17"/>
      <c r="G23" s="17"/>
      <c r="H23" s="34"/>
    </row>
    <row r="24" spans="1:8" ht="13.8" x14ac:dyDescent="0.25">
      <c r="A24" s="15"/>
      <c r="B24" s="16"/>
      <c r="C24" s="31"/>
      <c r="D24" s="17"/>
      <c r="E24" s="16"/>
      <c r="F24" s="17"/>
      <c r="G24" s="18"/>
      <c r="H24" s="35"/>
    </row>
    <row r="25" spans="1:8" ht="13.8" x14ac:dyDescent="0.25">
      <c r="A25" s="20"/>
      <c r="B25" s="17"/>
      <c r="C25" s="28"/>
      <c r="D25" s="16"/>
      <c r="E25" s="17"/>
      <c r="F25" s="17"/>
      <c r="G25" s="17"/>
      <c r="H25" s="34"/>
    </row>
    <row r="26" spans="1:8" ht="13.8" x14ac:dyDescent="0.25">
      <c r="A26" s="15"/>
      <c r="B26" s="16"/>
      <c r="C26" s="28"/>
      <c r="D26" s="16"/>
      <c r="E26" s="16"/>
      <c r="F26" s="17"/>
      <c r="G26" s="17"/>
      <c r="H26" s="34"/>
    </row>
    <row r="27" spans="1:8" ht="13.8" x14ac:dyDescent="0.25">
      <c r="A27" s="15"/>
      <c r="B27" s="16"/>
      <c r="C27" s="30"/>
      <c r="D27" s="17"/>
      <c r="E27" s="16"/>
      <c r="F27" s="17"/>
      <c r="G27" s="18"/>
      <c r="H27" s="35"/>
    </row>
    <row r="28" spans="1:8" ht="13.8" x14ac:dyDescent="0.25">
      <c r="A28" s="20"/>
      <c r="B28" s="17"/>
      <c r="C28" s="28"/>
      <c r="D28" s="16"/>
      <c r="E28" s="17"/>
      <c r="F28" s="17"/>
      <c r="G28" s="17"/>
      <c r="H28" s="34"/>
    </row>
    <row r="29" spans="1:8" ht="13.8" x14ac:dyDescent="0.25">
      <c r="A29" s="15"/>
      <c r="B29" s="16"/>
      <c r="C29" s="28"/>
      <c r="D29" s="16"/>
      <c r="E29" s="16"/>
      <c r="F29" s="17"/>
      <c r="G29" s="17"/>
      <c r="H29" s="34"/>
    </row>
    <row r="30" spans="1:8" ht="13.8" x14ac:dyDescent="0.25">
      <c r="A30" s="15"/>
      <c r="B30" s="16"/>
      <c r="C30" s="29"/>
      <c r="D30" s="17"/>
      <c r="E30" s="16"/>
      <c r="F30" s="17"/>
      <c r="G30" s="18"/>
      <c r="H30" s="35"/>
    </row>
    <row r="31" spans="1:8" ht="13.8" x14ac:dyDescent="0.25">
      <c r="A31" s="20"/>
      <c r="B31" s="17"/>
      <c r="C31" s="28"/>
      <c r="D31" s="16"/>
      <c r="E31" s="17"/>
      <c r="F31" s="17"/>
      <c r="G31" s="17"/>
      <c r="H31" s="34"/>
    </row>
    <row r="32" spans="1:8" ht="13.8" x14ac:dyDescent="0.25">
      <c r="A32" s="15"/>
      <c r="B32" s="16"/>
      <c r="C32" s="28"/>
      <c r="D32" s="16"/>
      <c r="E32" s="16"/>
      <c r="F32" s="17"/>
      <c r="G32" s="17"/>
      <c r="H32" s="34"/>
    </row>
    <row r="33" spans="1:8" ht="13.8" x14ac:dyDescent="0.25">
      <c r="A33" s="15"/>
      <c r="B33" s="16"/>
      <c r="C33" s="29"/>
      <c r="D33" s="17"/>
      <c r="E33" s="16"/>
      <c r="F33" s="17"/>
      <c r="G33" s="18"/>
      <c r="H33" s="35"/>
    </row>
    <row r="34" spans="1:8" ht="15.75" customHeight="1" x14ac:dyDescent="0.25">
      <c r="A34" s="20"/>
      <c r="B34" s="17"/>
      <c r="C34" s="28"/>
      <c r="D34" s="16"/>
      <c r="E34" s="17"/>
      <c r="F34" s="17"/>
      <c r="G34" s="17"/>
      <c r="H34" s="34"/>
    </row>
    <row r="35" spans="1:8" ht="30.75" customHeight="1" x14ac:dyDescent="0.25">
      <c r="A35" s="15"/>
      <c r="B35" s="16"/>
      <c r="C35" s="28"/>
      <c r="D35" s="16"/>
      <c r="E35" s="16"/>
      <c r="F35" s="17"/>
      <c r="G35" s="17"/>
      <c r="H35" s="34"/>
    </row>
    <row r="36" spans="1:8" ht="15.75" customHeight="1" x14ac:dyDescent="0.25">
      <c r="A36" s="15"/>
      <c r="B36" s="16"/>
      <c r="C36" s="29"/>
      <c r="D36" s="17"/>
      <c r="E36" s="16"/>
      <c r="F36" s="17"/>
      <c r="G36" s="18"/>
      <c r="H36" s="35"/>
    </row>
    <row r="37" spans="1:8" ht="15.75" customHeight="1" x14ac:dyDescent="0.25">
      <c r="A37" s="20"/>
      <c r="B37" s="17"/>
      <c r="C37" s="28"/>
      <c r="D37" s="16"/>
      <c r="E37" s="17"/>
      <c r="F37" s="17"/>
      <c r="G37" s="17"/>
      <c r="H37" s="34"/>
    </row>
    <row r="38" spans="1:8" ht="30.75" customHeight="1" x14ac:dyDescent="0.25">
      <c r="A38" s="15"/>
      <c r="B38" s="16"/>
      <c r="C38" s="28"/>
      <c r="D38" s="16"/>
      <c r="E38" s="16"/>
      <c r="F38" s="17"/>
      <c r="G38" s="17"/>
      <c r="H38" s="34"/>
    </row>
    <row r="39" spans="1:8" ht="15.75" customHeight="1" x14ac:dyDescent="0.25">
      <c r="A39" s="15"/>
      <c r="B39" s="16"/>
      <c r="C39" s="30"/>
      <c r="D39" s="17"/>
      <c r="E39" s="16"/>
      <c r="F39" s="17"/>
      <c r="G39" s="18"/>
      <c r="H39" s="35"/>
    </row>
    <row r="40" spans="1:8" ht="15.75" customHeight="1" x14ac:dyDescent="0.25">
      <c r="A40" s="20"/>
      <c r="B40" s="17"/>
      <c r="C40" s="25"/>
      <c r="D40" s="16"/>
      <c r="E40" s="17"/>
      <c r="F40" s="17"/>
      <c r="G40" s="17"/>
      <c r="H40" s="34"/>
    </row>
    <row r="41" spans="1:8" ht="31.5" customHeight="1" x14ac:dyDescent="0.25">
      <c r="A41" s="15"/>
      <c r="B41" s="16"/>
      <c r="C41" s="28"/>
      <c r="D41" s="16"/>
      <c r="E41" s="16"/>
      <c r="F41" s="17"/>
      <c r="G41" s="17"/>
      <c r="H41" s="34"/>
    </row>
    <row r="42" spans="1:8" ht="15.75" customHeight="1" x14ac:dyDescent="0.25">
      <c r="A42" s="15"/>
      <c r="B42" s="16"/>
      <c r="C42" s="29"/>
      <c r="D42" s="17"/>
      <c r="E42" s="16"/>
      <c r="F42" s="17"/>
      <c r="G42" s="18"/>
      <c r="H42" s="35"/>
    </row>
    <row r="43" spans="1:8" ht="15.75" customHeight="1" x14ac:dyDescent="0.25">
      <c r="A43" s="20"/>
      <c r="B43" s="17"/>
      <c r="C43" s="28"/>
      <c r="D43" s="16"/>
      <c r="E43" s="17"/>
      <c r="F43" s="17"/>
      <c r="G43" s="17"/>
      <c r="H43" s="34"/>
    </row>
    <row r="44" spans="1:8" ht="37.5" customHeight="1" x14ac:dyDescent="0.25">
      <c r="A44" s="15"/>
      <c r="B44" s="16"/>
      <c r="C44" s="28"/>
      <c r="D44" s="16"/>
      <c r="E44" s="16"/>
      <c r="F44" s="17"/>
      <c r="G44" s="17"/>
      <c r="H44" s="34"/>
    </row>
    <row r="45" spans="1:8" ht="15.75" customHeight="1" x14ac:dyDescent="0.25">
      <c r="A45" s="15"/>
      <c r="B45" s="16"/>
      <c r="C45" s="29"/>
      <c r="D45" s="17"/>
      <c r="E45" s="16"/>
      <c r="F45" s="17"/>
      <c r="G45" s="18"/>
      <c r="H45" s="35"/>
    </row>
    <row r="46" spans="1:8" ht="15.75" customHeight="1" x14ac:dyDescent="0.25">
      <c r="A46" s="20"/>
      <c r="B46" s="17"/>
      <c r="C46" s="28"/>
      <c r="D46" s="16"/>
      <c r="E46" s="17"/>
      <c r="F46" s="17"/>
      <c r="G46" s="17"/>
      <c r="H46" s="34"/>
    </row>
    <row r="47" spans="1:8" ht="38.25" customHeight="1" x14ac:dyDescent="0.25">
      <c r="A47" s="15"/>
      <c r="B47" s="16"/>
      <c r="C47" s="28"/>
      <c r="D47" s="16"/>
      <c r="E47" s="16"/>
      <c r="F47" s="17"/>
      <c r="G47" s="17"/>
      <c r="H47" s="34"/>
    </row>
    <row r="48" spans="1:8" ht="30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</sheetData>
  <mergeCells count="7">
    <mergeCell ref="A5:B5"/>
    <mergeCell ref="C5:G5"/>
    <mergeCell ref="A4:B4"/>
    <mergeCell ref="A1:B1"/>
    <mergeCell ref="H1:I1"/>
    <mergeCell ref="A2:B2"/>
    <mergeCell ref="A3:B3"/>
  </mergeCells>
  <phoneticPr fontId="10" type="noConversion"/>
  <conditionalFormatting sqref="G11 G14 G8:G9 G21">
    <cfRule type="cellIs" dxfId="195" priority="53" operator="equal">
      <formula>"FAIL"</formula>
    </cfRule>
  </conditionalFormatting>
  <conditionalFormatting sqref="G11 G14 G8:G9 G21">
    <cfRule type="cellIs" dxfId="194" priority="54" operator="equal">
      <formula>"PASS"</formula>
    </cfRule>
  </conditionalFormatting>
  <conditionalFormatting sqref="G11 G14 G8:G9 G21">
    <cfRule type="cellIs" dxfId="193" priority="55" operator="equal">
      <formula>"WARNING"</formula>
    </cfRule>
  </conditionalFormatting>
  <conditionalFormatting sqref="G11 G14 G8:G9 G21">
    <cfRule type="containsBlanks" dxfId="192" priority="56">
      <formula>LEN(TRIM(G8))=0</formula>
    </cfRule>
  </conditionalFormatting>
  <conditionalFormatting sqref="G24">
    <cfRule type="cellIs" dxfId="191" priority="45" operator="equal">
      <formula>"FAIL"</formula>
    </cfRule>
  </conditionalFormatting>
  <conditionalFormatting sqref="G24">
    <cfRule type="cellIs" dxfId="190" priority="46" operator="equal">
      <formula>"PASS"</formula>
    </cfRule>
  </conditionalFormatting>
  <conditionalFormatting sqref="G24">
    <cfRule type="cellIs" dxfId="189" priority="47" operator="equal">
      <formula>"WARNING"</formula>
    </cfRule>
  </conditionalFormatting>
  <conditionalFormatting sqref="G24">
    <cfRule type="containsBlanks" dxfId="188" priority="48">
      <formula>LEN(TRIM(G24))=0</formula>
    </cfRule>
  </conditionalFormatting>
  <conditionalFormatting sqref="G27">
    <cfRule type="cellIs" dxfId="187" priority="41" operator="equal">
      <formula>"FAIL"</formula>
    </cfRule>
  </conditionalFormatting>
  <conditionalFormatting sqref="G27">
    <cfRule type="cellIs" dxfId="186" priority="42" operator="equal">
      <formula>"PASS"</formula>
    </cfRule>
  </conditionalFormatting>
  <conditionalFormatting sqref="G27">
    <cfRule type="cellIs" dxfId="185" priority="43" operator="equal">
      <formula>"WARNING"</formula>
    </cfRule>
  </conditionalFormatting>
  <conditionalFormatting sqref="G27">
    <cfRule type="containsBlanks" dxfId="184" priority="44">
      <formula>LEN(TRIM(G27))=0</formula>
    </cfRule>
  </conditionalFormatting>
  <conditionalFormatting sqref="G33">
    <cfRule type="cellIs" dxfId="183" priority="37" operator="equal">
      <formula>"FAIL"</formula>
    </cfRule>
  </conditionalFormatting>
  <conditionalFormatting sqref="G33">
    <cfRule type="cellIs" dxfId="182" priority="38" operator="equal">
      <formula>"PASS"</formula>
    </cfRule>
  </conditionalFormatting>
  <conditionalFormatting sqref="G33">
    <cfRule type="cellIs" dxfId="181" priority="39" operator="equal">
      <formula>"WARNING"</formula>
    </cfRule>
  </conditionalFormatting>
  <conditionalFormatting sqref="G33">
    <cfRule type="containsBlanks" dxfId="180" priority="40">
      <formula>LEN(TRIM(G33))=0</formula>
    </cfRule>
  </conditionalFormatting>
  <conditionalFormatting sqref="G36">
    <cfRule type="cellIs" dxfId="179" priority="33" operator="equal">
      <formula>"FAIL"</formula>
    </cfRule>
  </conditionalFormatting>
  <conditionalFormatting sqref="G36">
    <cfRule type="cellIs" dxfId="178" priority="34" operator="equal">
      <formula>"PASS"</formula>
    </cfRule>
  </conditionalFormatting>
  <conditionalFormatting sqref="G36">
    <cfRule type="cellIs" dxfId="177" priority="35" operator="equal">
      <formula>"WARNING"</formula>
    </cfRule>
  </conditionalFormatting>
  <conditionalFormatting sqref="G36">
    <cfRule type="containsBlanks" dxfId="176" priority="36">
      <formula>LEN(TRIM(G36))=0</formula>
    </cfRule>
  </conditionalFormatting>
  <conditionalFormatting sqref="G39">
    <cfRule type="cellIs" dxfId="175" priority="29" operator="equal">
      <formula>"FAIL"</formula>
    </cfRule>
  </conditionalFormatting>
  <conditionalFormatting sqref="G39">
    <cfRule type="cellIs" dxfId="174" priority="30" operator="equal">
      <formula>"PASS"</formula>
    </cfRule>
  </conditionalFormatting>
  <conditionalFormatting sqref="G39">
    <cfRule type="cellIs" dxfId="173" priority="31" operator="equal">
      <formula>"WARNING"</formula>
    </cfRule>
  </conditionalFormatting>
  <conditionalFormatting sqref="G39">
    <cfRule type="containsBlanks" dxfId="172" priority="32">
      <formula>LEN(TRIM(G39))=0</formula>
    </cfRule>
  </conditionalFormatting>
  <conditionalFormatting sqref="I2">
    <cfRule type="cellIs" dxfId="171" priority="25" operator="equal">
      <formula>"FAIL"</formula>
    </cfRule>
  </conditionalFormatting>
  <conditionalFormatting sqref="I2">
    <cfRule type="cellIs" dxfId="170" priority="26" operator="equal">
      <formula>"PASS"</formula>
    </cfRule>
  </conditionalFormatting>
  <conditionalFormatting sqref="I2">
    <cfRule type="cellIs" dxfId="169" priority="27" operator="equal">
      <formula>"WARNING"</formula>
    </cfRule>
  </conditionalFormatting>
  <conditionalFormatting sqref="I2">
    <cfRule type="containsBlanks" dxfId="168" priority="28">
      <formula>LEN(TRIM(I2))=0</formula>
    </cfRule>
  </conditionalFormatting>
  <conditionalFormatting sqref="I3">
    <cfRule type="cellIs" dxfId="167" priority="21" operator="equal">
      <formula>"FAIL"</formula>
    </cfRule>
  </conditionalFormatting>
  <conditionalFormatting sqref="I3">
    <cfRule type="cellIs" dxfId="166" priority="22" operator="equal">
      <formula>"PASS"</formula>
    </cfRule>
  </conditionalFormatting>
  <conditionalFormatting sqref="I3">
    <cfRule type="cellIs" dxfId="165" priority="23" operator="equal">
      <formula>"WARNING"</formula>
    </cfRule>
  </conditionalFormatting>
  <conditionalFormatting sqref="I3">
    <cfRule type="containsBlanks" dxfId="164" priority="24">
      <formula>LEN(TRIM(I3))=0</formula>
    </cfRule>
  </conditionalFormatting>
  <conditionalFormatting sqref="G7">
    <cfRule type="cellIs" dxfId="163" priority="17" operator="equal">
      <formula>"FAIL"</formula>
    </cfRule>
  </conditionalFormatting>
  <conditionalFormatting sqref="G7">
    <cfRule type="cellIs" dxfId="162" priority="18" operator="equal">
      <formula>"PASS"</formula>
    </cfRule>
  </conditionalFormatting>
  <conditionalFormatting sqref="G7">
    <cfRule type="cellIs" dxfId="161" priority="19" operator="equal">
      <formula>"WARNING"</formula>
    </cfRule>
  </conditionalFormatting>
  <conditionalFormatting sqref="G7">
    <cfRule type="containsBlanks" dxfId="160" priority="20">
      <formula>LEN(TRIM(G7))=0</formula>
    </cfRule>
  </conditionalFormatting>
  <conditionalFormatting sqref="G18">
    <cfRule type="cellIs" dxfId="159" priority="13" operator="equal">
      <formula>"FAIL"</formula>
    </cfRule>
  </conditionalFormatting>
  <conditionalFormatting sqref="G18">
    <cfRule type="cellIs" dxfId="158" priority="14" operator="equal">
      <formula>"PASS"</formula>
    </cfRule>
  </conditionalFormatting>
  <conditionalFormatting sqref="G18">
    <cfRule type="cellIs" dxfId="157" priority="15" operator="equal">
      <formula>"WARNING"</formula>
    </cfRule>
  </conditionalFormatting>
  <conditionalFormatting sqref="G18">
    <cfRule type="containsBlanks" dxfId="156" priority="16">
      <formula>LEN(TRIM(G18))=0</formula>
    </cfRule>
  </conditionalFormatting>
  <conditionalFormatting sqref="G30">
    <cfRule type="cellIs" dxfId="155" priority="9" operator="equal">
      <formula>"FAIL"</formula>
    </cfRule>
  </conditionalFormatting>
  <conditionalFormatting sqref="G30">
    <cfRule type="cellIs" dxfId="154" priority="10" operator="equal">
      <formula>"PASS"</formula>
    </cfRule>
  </conditionalFormatting>
  <conditionalFormatting sqref="G30">
    <cfRule type="cellIs" dxfId="153" priority="11" operator="equal">
      <formula>"WARNING"</formula>
    </cfRule>
  </conditionalFormatting>
  <conditionalFormatting sqref="G30">
    <cfRule type="containsBlanks" dxfId="152" priority="12">
      <formula>LEN(TRIM(G30))=0</formula>
    </cfRule>
  </conditionalFormatting>
  <conditionalFormatting sqref="G42">
    <cfRule type="cellIs" dxfId="151" priority="5" operator="equal">
      <formula>"FAIL"</formula>
    </cfRule>
  </conditionalFormatting>
  <conditionalFormatting sqref="G42">
    <cfRule type="cellIs" dxfId="150" priority="6" operator="equal">
      <formula>"PASS"</formula>
    </cfRule>
  </conditionalFormatting>
  <conditionalFormatting sqref="G42">
    <cfRule type="cellIs" dxfId="149" priority="7" operator="equal">
      <formula>"WARNING"</formula>
    </cfRule>
  </conditionalFormatting>
  <conditionalFormatting sqref="G42">
    <cfRule type="containsBlanks" dxfId="148" priority="8">
      <formula>LEN(TRIM(G42))=0</formula>
    </cfRule>
  </conditionalFormatting>
  <conditionalFormatting sqref="G45">
    <cfRule type="cellIs" dxfId="147" priority="1" operator="equal">
      <formula>"FAIL"</formula>
    </cfRule>
  </conditionalFormatting>
  <conditionalFormatting sqref="G45">
    <cfRule type="cellIs" dxfId="146" priority="2" operator="equal">
      <formula>"PASS"</formula>
    </cfRule>
  </conditionalFormatting>
  <conditionalFormatting sqref="G45">
    <cfRule type="cellIs" dxfId="145" priority="3" operator="equal">
      <formula>"WARNING"</formula>
    </cfRule>
  </conditionalFormatting>
  <conditionalFormatting sqref="G45">
    <cfRule type="containsBlanks" dxfId="144" priority="4">
      <formula>LEN(TRIM(G45))=0</formula>
    </cfRule>
  </conditionalFormatting>
  <dataValidations xWindow="1093" yWindow="806" count="1">
    <dataValidation type="list" allowBlank="1" showInputMessage="1" showErrorMessage="1" prompt="Click and enter a value from the list of items" sqref="G8:G9 G11 G14 G21 G24 G27 G33 G36 G39 G7 G18 G30 G42 G45" xr:uid="{00000000-0002-0000-0000-000000000000}">
      <formula1>"PASS,FAIL,WARNING"</formula1>
    </dataValidation>
  </dataValidations>
  <hyperlinks>
    <hyperlink ref="C16" r:id="rId1" xr:uid="{FAED981E-5BCD-44AB-B890-5D520B8ABFBC}"/>
  </hyperlinks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550A-DFFE-4AA4-B51E-08F03A2D0E08}">
  <dimension ref="A1:I13"/>
  <sheetViews>
    <sheetView workbookViewId="0">
      <selection activeCell="C2" sqref="C2"/>
    </sheetView>
  </sheetViews>
  <sheetFormatPr defaultRowHeight="13.2" x14ac:dyDescent="0.25"/>
  <cols>
    <col min="1" max="1" width="25.109375" customWidth="1"/>
    <col min="2" max="2" width="8" customWidth="1"/>
    <col min="3" max="3" width="17.109375" customWidth="1"/>
    <col min="4" max="4" width="20.21875" customWidth="1"/>
    <col min="5" max="5" width="19.33203125" customWidth="1"/>
    <col min="6" max="6" width="19.77734375" customWidth="1"/>
    <col min="7" max="7" width="28.77734375" customWidth="1"/>
    <col min="8" max="8" width="18.77734375" customWidth="1"/>
    <col min="9" max="9" width="34" customWidth="1"/>
  </cols>
  <sheetData>
    <row r="1" spans="1:9" ht="13.8" x14ac:dyDescent="0.25">
      <c r="A1" s="84" t="s">
        <v>4</v>
      </c>
      <c r="B1" s="81"/>
      <c r="C1" s="1" t="s">
        <v>29</v>
      </c>
      <c r="D1" s="4" t="s">
        <v>5</v>
      </c>
      <c r="E1" s="5">
        <v>44959</v>
      </c>
      <c r="F1" s="6" t="s">
        <v>6</v>
      </c>
      <c r="G1" s="5">
        <v>44959</v>
      </c>
      <c r="H1" s="85" t="s">
        <v>7</v>
      </c>
      <c r="I1" s="81"/>
    </row>
    <row r="2" spans="1:9" ht="27.6" x14ac:dyDescent="0.25">
      <c r="A2" s="83" t="s">
        <v>8</v>
      </c>
      <c r="B2" s="81"/>
      <c r="C2" s="2" t="s">
        <v>391</v>
      </c>
      <c r="D2" s="4" t="s">
        <v>9</v>
      </c>
      <c r="E2" s="5" t="s">
        <v>27</v>
      </c>
      <c r="F2" s="8" t="s">
        <v>10</v>
      </c>
      <c r="G2" s="5" t="s">
        <v>28</v>
      </c>
      <c r="H2" s="4" t="s">
        <v>0</v>
      </c>
      <c r="I2" s="41">
        <f>COUNTIF(G7:G46, "PASS")</f>
        <v>5</v>
      </c>
    </row>
    <row r="3" spans="1:9" ht="13.8" x14ac:dyDescent="0.25">
      <c r="A3" s="83"/>
      <c r="B3" s="81"/>
      <c r="C3" s="2"/>
      <c r="D3" s="9" t="s">
        <v>11</v>
      </c>
      <c r="E3" s="3" t="s">
        <v>30</v>
      </c>
      <c r="F3" s="1" t="s">
        <v>12</v>
      </c>
      <c r="G3" s="2">
        <v>1</v>
      </c>
      <c r="H3" s="10" t="s">
        <v>1</v>
      </c>
      <c r="I3" s="21">
        <f>COUNTIF(G8:G46, "Fail")</f>
        <v>2</v>
      </c>
    </row>
    <row r="4" spans="1:9" ht="27.6" x14ac:dyDescent="0.25">
      <c r="A4" s="83" t="s">
        <v>13</v>
      </c>
      <c r="B4" s="81"/>
      <c r="C4" s="2" t="s">
        <v>26</v>
      </c>
      <c r="D4" s="9" t="s">
        <v>14</v>
      </c>
      <c r="E4" s="2" t="s">
        <v>30</v>
      </c>
      <c r="F4" s="1" t="s">
        <v>15</v>
      </c>
      <c r="G4" s="11" t="s">
        <v>3</v>
      </c>
      <c r="H4" s="4" t="s">
        <v>16</v>
      </c>
      <c r="I4" s="22">
        <f>COUNTIF(G8:G46, "WARNING")</f>
        <v>0</v>
      </c>
    </row>
    <row r="5" spans="1:9" ht="13.8" x14ac:dyDescent="0.25">
      <c r="A5" s="80" t="s">
        <v>17</v>
      </c>
      <c r="B5" s="81"/>
      <c r="C5" s="80"/>
      <c r="D5" s="82"/>
      <c r="E5" s="82"/>
      <c r="F5" s="82"/>
      <c r="G5" s="81"/>
      <c r="H5" s="12" t="s">
        <v>18</v>
      </c>
      <c r="I5" s="23">
        <f>SUM(I2:I4:I3)</f>
        <v>7</v>
      </c>
    </row>
    <row r="6" spans="1:9" ht="13.8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55.2" x14ac:dyDescent="0.25">
      <c r="A7" s="15" t="s">
        <v>77</v>
      </c>
      <c r="B7" s="16" t="s">
        <v>94</v>
      </c>
      <c r="C7" s="36" t="s">
        <v>79</v>
      </c>
      <c r="D7" s="17" t="s">
        <v>74</v>
      </c>
      <c r="E7" s="16" t="s">
        <v>75</v>
      </c>
      <c r="F7" s="17" t="s">
        <v>76</v>
      </c>
      <c r="G7" s="18" t="s">
        <v>0</v>
      </c>
      <c r="H7" s="37"/>
      <c r="I7" s="7"/>
    </row>
    <row r="8" spans="1:9" ht="55.2" x14ac:dyDescent="0.25">
      <c r="A8" s="15" t="s">
        <v>78</v>
      </c>
      <c r="B8" s="16" t="s">
        <v>93</v>
      </c>
      <c r="C8" s="39" t="s">
        <v>80</v>
      </c>
      <c r="D8" s="17" t="s">
        <v>74</v>
      </c>
      <c r="E8" s="16" t="s">
        <v>83</v>
      </c>
      <c r="F8" s="17" t="s">
        <v>85</v>
      </c>
      <c r="G8" s="18" t="s">
        <v>0</v>
      </c>
      <c r="H8" s="37"/>
      <c r="I8" s="7"/>
    </row>
    <row r="9" spans="1:9" ht="55.2" x14ac:dyDescent="0.25">
      <c r="A9" s="15" t="s">
        <v>81</v>
      </c>
      <c r="B9" s="16" t="s">
        <v>92</v>
      </c>
      <c r="C9" s="36" t="s">
        <v>82</v>
      </c>
      <c r="D9" s="16" t="s">
        <v>74</v>
      </c>
      <c r="E9" s="16" t="s">
        <v>84</v>
      </c>
      <c r="F9" s="16" t="s">
        <v>85</v>
      </c>
      <c r="G9" s="40" t="s">
        <v>1</v>
      </c>
      <c r="H9" s="32"/>
      <c r="I9" s="7"/>
    </row>
    <row r="10" spans="1:9" ht="55.2" x14ac:dyDescent="0.25">
      <c r="A10" s="19" t="s">
        <v>86</v>
      </c>
      <c r="B10" s="16" t="s">
        <v>91</v>
      </c>
      <c r="C10" s="46" t="s">
        <v>87</v>
      </c>
      <c r="D10" s="16" t="s">
        <v>74</v>
      </c>
      <c r="E10" s="16" t="s">
        <v>88</v>
      </c>
      <c r="F10" s="16" t="s">
        <v>89</v>
      </c>
      <c r="G10" s="42" t="s">
        <v>0</v>
      </c>
      <c r="H10" s="32"/>
      <c r="I10" s="7"/>
    </row>
    <row r="11" spans="1:9" ht="69" x14ac:dyDescent="0.25">
      <c r="A11" s="15" t="s">
        <v>90</v>
      </c>
      <c r="B11" s="16" t="s">
        <v>95</v>
      </c>
      <c r="C11" s="43" t="s">
        <v>96</v>
      </c>
      <c r="D11" s="17" t="s">
        <v>74</v>
      </c>
      <c r="E11" s="16" t="s">
        <v>97</v>
      </c>
      <c r="F11" s="17" t="s">
        <v>98</v>
      </c>
      <c r="G11" s="18" t="s">
        <v>1</v>
      </c>
      <c r="H11" s="33"/>
      <c r="I11" s="7"/>
    </row>
    <row r="12" spans="1:9" ht="55.2" x14ac:dyDescent="0.25">
      <c r="A12" s="19" t="s">
        <v>102</v>
      </c>
      <c r="B12" s="16" t="s">
        <v>99</v>
      </c>
      <c r="C12" s="43" t="s">
        <v>100</v>
      </c>
      <c r="D12" s="16" t="s">
        <v>101</v>
      </c>
      <c r="E12" s="16" t="s">
        <v>54</v>
      </c>
      <c r="F12" s="17" t="s">
        <v>55</v>
      </c>
      <c r="G12" s="44" t="s">
        <v>0</v>
      </c>
      <c r="H12" s="32"/>
      <c r="I12" s="7"/>
    </row>
    <row r="13" spans="1:9" ht="27.6" x14ac:dyDescent="0.25">
      <c r="A13" s="15" t="s">
        <v>103</v>
      </c>
      <c r="B13" s="17" t="s">
        <v>104</v>
      </c>
      <c r="C13" s="47" t="s">
        <v>105</v>
      </c>
      <c r="D13" s="16" t="s">
        <v>106</v>
      </c>
      <c r="E13" s="17" t="s">
        <v>107</v>
      </c>
      <c r="F13" s="17" t="s">
        <v>108</v>
      </c>
      <c r="G13" s="48" t="s">
        <v>0</v>
      </c>
      <c r="H13" s="34"/>
      <c r="I13" s="7"/>
    </row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G11 G8:G9">
    <cfRule type="cellIs" dxfId="143" priority="13" operator="equal">
      <formula>"FAIL"</formula>
    </cfRule>
  </conditionalFormatting>
  <conditionalFormatting sqref="G11 G8:G9">
    <cfRule type="cellIs" dxfId="142" priority="14" operator="equal">
      <formula>"PASS"</formula>
    </cfRule>
  </conditionalFormatting>
  <conditionalFormatting sqref="G11 G8:G9">
    <cfRule type="cellIs" dxfId="141" priority="15" operator="equal">
      <formula>"WARNING"</formula>
    </cfRule>
  </conditionalFormatting>
  <conditionalFormatting sqref="G11 G8:G9">
    <cfRule type="containsBlanks" dxfId="140" priority="16">
      <formula>LEN(TRIM(G8))=0</formula>
    </cfRule>
  </conditionalFormatting>
  <conditionalFormatting sqref="I2">
    <cfRule type="cellIs" dxfId="139" priority="9" operator="equal">
      <formula>"FAIL"</formula>
    </cfRule>
  </conditionalFormatting>
  <conditionalFormatting sqref="I2">
    <cfRule type="cellIs" dxfId="138" priority="10" operator="equal">
      <formula>"PASS"</formula>
    </cfRule>
  </conditionalFormatting>
  <conditionalFormatting sqref="I2">
    <cfRule type="cellIs" dxfId="137" priority="11" operator="equal">
      <formula>"WARNING"</formula>
    </cfRule>
  </conditionalFormatting>
  <conditionalFormatting sqref="I2">
    <cfRule type="containsBlanks" dxfId="136" priority="12">
      <formula>LEN(TRIM(I2))=0</formula>
    </cfRule>
  </conditionalFormatting>
  <conditionalFormatting sqref="I3">
    <cfRule type="cellIs" dxfId="135" priority="5" operator="equal">
      <formula>"FAIL"</formula>
    </cfRule>
  </conditionalFormatting>
  <conditionalFormatting sqref="I3">
    <cfRule type="cellIs" dxfId="134" priority="6" operator="equal">
      <formula>"PASS"</formula>
    </cfRule>
  </conditionalFormatting>
  <conditionalFormatting sqref="I3">
    <cfRule type="cellIs" dxfId="133" priority="7" operator="equal">
      <formula>"WARNING"</formula>
    </cfRule>
  </conditionalFormatting>
  <conditionalFormatting sqref="I3">
    <cfRule type="containsBlanks" dxfId="132" priority="8">
      <formula>LEN(TRIM(I3))=0</formula>
    </cfRule>
  </conditionalFormatting>
  <conditionalFormatting sqref="G7">
    <cfRule type="cellIs" dxfId="131" priority="1" operator="equal">
      <formula>"FAIL"</formula>
    </cfRule>
  </conditionalFormatting>
  <conditionalFormatting sqref="G7">
    <cfRule type="cellIs" dxfId="130" priority="2" operator="equal">
      <formula>"PASS"</formula>
    </cfRule>
  </conditionalFormatting>
  <conditionalFormatting sqref="G7">
    <cfRule type="cellIs" dxfId="129" priority="3" operator="equal">
      <formula>"WARNING"</formula>
    </cfRule>
  </conditionalFormatting>
  <conditionalFormatting sqref="G7">
    <cfRule type="containsBlanks" dxfId="128" priority="4">
      <formula>LEN(TRIM(G7))=0</formula>
    </cfRule>
  </conditionalFormatting>
  <dataValidations count="1">
    <dataValidation type="list" allowBlank="1" showInputMessage="1" showErrorMessage="1" prompt="Click and enter a value from the list of items" sqref="G7:G9 G11" xr:uid="{482BC5FD-48CC-434B-992B-F5932F0C8366}">
      <formula1>"PASS,FAIL,WARNING"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2D79-2173-411D-A1F5-E32EB142187F}">
  <dimension ref="A1:I10"/>
  <sheetViews>
    <sheetView tabSelected="1" zoomScaleNormal="100" workbookViewId="0">
      <selection activeCell="C2" sqref="C2"/>
    </sheetView>
  </sheetViews>
  <sheetFormatPr defaultRowHeight="13.2" x14ac:dyDescent="0.25"/>
  <cols>
    <col min="1" max="1" width="16.44140625" customWidth="1"/>
    <col min="2" max="2" width="17.44140625" customWidth="1"/>
    <col min="3" max="3" width="29.109375" customWidth="1"/>
    <col min="4" max="4" width="21.77734375" customWidth="1"/>
    <col min="5" max="5" width="22.5546875" customWidth="1"/>
    <col min="6" max="6" width="15" customWidth="1"/>
    <col min="7" max="7" width="28.109375" customWidth="1"/>
    <col min="9" max="9" width="14.77734375" customWidth="1"/>
  </cols>
  <sheetData>
    <row r="1" spans="1:9" ht="13.8" x14ac:dyDescent="0.25">
      <c r="A1" s="84" t="s">
        <v>4</v>
      </c>
      <c r="B1" s="81"/>
      <c r="C1" s="1" t="s">
        <v>29</v>
      </c>
      <c r="D1" s="4" t="s">
        <v>5</v>
      </c>
      <c r="E1" s="5">
        <v>44959</v>
      </c>
      <c r="F1" s="6" t="s">
        <v>6</v>
      </c>
      <c r="G1" s="5">
        <v>44959</v>
      </c>
      <c r="H1" s="85" t="s">
        <v>7</v>
      </c>
      <c r="I1" s="81"/>
    </row>
    <row r="2" spans="1:9" ht="13.8" x14ac:dyDescent="0.25">
      <c r="A2" s="83" t="s">
        <v>8</v>
      </c>
      <c r="B2" s="81"/>
      <c r="C2" s="2" t="s">
        <v>109</v>
      </c>
      <c r="D2" s="4" t="s">
        <v>9</v>
      </c>
      <c r="E2" s="5" t="s">
        <v>27</v>
      </c>
      <c r="F2" s="8" t="s">
        <v>10</v>
      </c>
      <c r="G2" s="5" t="s">
        <v>28</v>
      </c>
      <c r="H2" s="4" t="s">
        <v>0</v>
      </c>
      <c r="I2" s="41">
        <f>COUNTIF(G7:G43, "PASS")</f>
        <v>1</v>
      </c>
    </row>
    <row r="3" spans="1:9" ht="13.8" x14ac:dyDescent="0.25">
      <c r="A3" s="83"/>
      <c r="B3" s="81"/>
      <c r="C3" s="2"/>
      <c r="D3" s="9" t="s">
        <v>11</v>
      </c>
      <c r="E3" s="3" t="s">
        <v>30</v>
      </c>
      <c r="F3" s="1" t="s">
        <v>12</v>
      </c>
      <c r="G3" s="2">
        <v>1</v>
      </c>
      <c r="H3" s="10" t="s">
        <v>1</v>
      </c>
      <c r="I3" s="21">
        <v>3</v>
      </c>
    </row>
    <row r="4" spans="1:9" ht="27.6" x14ac:dyDescent="0.25">
      <c r="A4" s="83" t="s">
        <v>13</v>
      </c>
      <c r="B4" s="81"/>
      <c r="C4" s="2" t="s">
        <v>26</v>
      </c>
      <c r="D4" s="9" t="s">
        <v>14</v>
      </c>
      <c r="E4" s="2" t="s">
        <v>30</v>
      </c>
      <c r="F4" s="1" t="s">
        <v>15</v>
      </c>
      <c r="G4" s="11" t="s">
        <v>3</v>
      </c>
      <c r="H4" s="4" t="s">
        <v>16</v>
      </c>
      <c r="I4" s="22">
        <f>COUNTIF(G8:G43, "WARNING")</f>
        <v>0</v>
      </c>
    </row>
    <row r="5" spans="1:9" ht="13.8" x14ac:dyDescent="0.25">
      <c r="A5" s="80" t="s">
        <v>17</v>
      </c>
      <c r="B5" s="81"/>
      <c r="C5" s="80"/>
      <c r="D5" s="82"/>
      <c r="E5" s="82"/>
      <c r="F5" s="82"/>
      <c r="G5" s="81"/>
      <c r="H5" s="12" t="s">
        <v>18</v>
      </c>
      <c r="I5" s="23">
        <f>SUM(I2:I4:I3)</f>
        <v>4</v>
      </c>
    </row>
    <row r="6" spans="1:9" ht="27.6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82.8" x14ac:dyDescent="0.25">
      <c r="A7" s="15" t="s">
        <v>110</v>
      </c>
      <c r="B7" s="16" t="s">
        <v>111</v>
      </c>
      <c r="C7" s="36" t="s">
        <v>112</v>
      </c>
      <c r="D7" s="17" t="s">
        <v>118</v>
      </c>
      <c r="E7" s="16" t="s">
        <v>113</v>
      </c>
      <c r="F7" s="17" t="s">
        <v>114</v>
      </c>
      <c r="G7" s="18" t="s">
        <v>1</v>
      </c>
      <c r="H7" s="37"/>
      <c r="I7" s="7"/>
    </row>
    <row r="8" spans="1:9" ht="82.8" x14ac:dyDescent="0.25">
      <c r="A8" s="15" t="s">
        <v>115</v>
      </c>
      <c r="B8" s="16" t="s">
        <v>116</v>
      </c>
      <c r="C8" s="39" t="s">
        <v>117</v>
      </c>
      <c r="D8" s="17" t="s">
        <v>118</v>
      </c>
      <c r="E8" s="16" t="s">
        <v>119</v>
      </c>
      <c r="F8" s="17" t="s">
        <v>120</v>
      </c>
      <c r="G8" s="18" t="s">
        <v>0</v>
      </c>
      <c r="H8" s="37"/>
      <c r="I8" s="7"/>
    </row>
    <row r="9" spans="1:9" ht="96.6" x14ac:dyDescent="0.25">
      <c r="A9" s="15" t="s">
        <v>121</v>
      </c>
      <c r="B9" s="16" t="s">
        <v>122</v>
      </c>
      <c r="C9" s="36" t="s">
        <v>123</v>
      </c>
      <c r="D9" s="16" t="s">
        <v>124</v>
      </c>
      <c r="E9" s="16" t="s">
        <v>125</v>
      </c>
      <c r="F9" s="16" t="s">
        <v>126</v>
      </c>
      <c r="G9" s="40" t="s">
        <v>1</v>
      </c>
      <c r="H9" s="32"/>
      <c r="I9" s="7"/>
    </row>
    <row r="10" spans="1:9" ht="96.6" x14ac:dyDescent="0.25">
      <c r="A10" s="19" t="s">
        <v>127</v>
      </c>
      <c r="B10" s="16" t="s">
        <v>128</v>
      </c>
      <c r="C10" s="46" t="s">
        <v>129</v>
      </c>
      <c r="D10" s="16" t="s">
        <v>130</v>
      </c>
      <c r="E10" s="16" t="s">
        <v>131</v>
      </c>
      <c r="F10" s="16" t="s">
        <v>132</v>
      </c>
      <c r="G10" s="49" t="s">
        <v>1</v>
      </c>
      <c r="H10" s="32"/>
      <c r="I10" s="7"/>
    </row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G8:G9">
    <cfRule type="cellIs" dxfId="127" priority="13" operator="equal">
      <formula>"FAIL"</formula>
    </cfRule>
  </conditionalFormatting>
  <conditionalFormatting sqref="G8:G9">
    <cfRule type="cellIs" dxfId="126" priority="14" operator="equal">
      <formula>"PASS"</formula>
    </cfRule>
  </conditionalFormatting>
  <conditionalFormatting sqref="G8:G9">
    <cfRule type="cellIs" dxfId="125" priority="15" operator="equal">
      <formula>"WARNING"</formula>
    </cfRule>
  </conditionalFormatting>
  <conditionalFormatting sqref="G8:G9">
    <cfRule type="containsBlanks" dxfId="124" priority="16">
      <formula>LEN(TRIM(G8))=0</formula>
    </cfRule>
  </conditionalFormatting>
  <conditionalFormatting sqref="I2">
    <cfRule type="cellIs" dxfId="123" priority="9" operator="equal">
      <formula>"FAIL"</formula>
    </cfRule>
  </conditionalFormatting>
  <conditionalFormatting sqref="I2">
    <cfRule type="cellIs" dxfId="122" priority="10" operator="equal">
      <formula>"PASS"</formula>
    </cfRule>
  </conditionalFormatting>
  <conditionalFormatting sqref="I2">
    <cfRule type="cellIs" dxfId="121" priority="11" operator="equal">
      <formula>"WARNING"</formula>
    </cfRule>
  </conditionalFormatting>
  <conditionalFormatting sqref="I2">
    <cfRule type="containsBlanks" dxfId="120" priority="12">
      <formula>LEN(TRIM(I2))=0</formula>
    </cfRule>
  </conditionalFormatting>
  <conditionalFormatting sqref="I3">
    <cfRule type="cellIs" dxfId="119" priority="5" operator="equal">
      <formula>"FAIL"</formula>
    </cfRule>
  </conditionalFormatting>
  <conditionalFormatting sqref="I3">
    <cfRule type="cellIs" dxfId="118" priority="6" operator="equal">
      <formula>"PASS"</formula>
    </cfRule>
  </conditionalFormatting>
  <conditionalFormatting sqref="I3">
    <cfRule type="cellIs" dxfId="117" priority="7" operator="equal">
      <formula>"WARNING"</formula>
    </cfRule>
  </conditionalFormatting>
  <conditionalFormatting sqref="I3">
    <cfRule type="containsBlanks" dxfId="116" priority="8">
      <formula>LEN(TRIM(I3))=0</formula>
    </cfRule>
  </conditionalFormatting>
  <conditionalFormatting sqref="G7">
    <cfRule type="cellIs" dxfId="115" priority="1" operator="equal">
      <formula>"FAIL"</formula>
    </cfRule>
  </conditionalFormatting>
  <conditionalFormatting sqref="G7">
    <cfRule type="cellIs" dxfId="114" priority="2" operator="equal">
      <formula>"PASS"</formula>
    </cfRule>
  </conditionalFormatting>
  <conditionalFormatting sqref="G7">
    <cfRule type="cellIs" dxfId="113" priority="3" operator="equal">
      <formula>"WARNING"</formula>
    </cfRule>
  </conditionalFormatting>
  <conditionalFormatting sqref="G7">
    <cfRule type="containsBlanks" dxfId="112" priority="4">
      <formula>LEN(TRIM(G7))=0</formula>
    </cfRule>
  </conditionalFormatting>
  <dataValidations count="1">
    <dataValidation type="list" allowBlank="1" showInputMessage="1" showErrorMessage="1" prompt="Click and enter a value from the list of items" sqref="G7:G9" xr:uid="{7EFEE467-F5FA-424C-9E02-4B497C016DA8}">
      <formula1>"PASS,FAIL,WARNING"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F95D-9355-4462-8856-C0ED819D40B4}">
  <dimension ref="A1:I11"/>
  <sheetViews>
    <sheetView workbookViewId="0">
      <selection activeCell="C2" sqref="C2"/>
    </sheetView>
  </sheetViews>
  <sheetFormatPr defaultRowHeight="13.2" x14ac:dyDescent="0.25"/>
  <cols>
    <col min="1" max="1" width="16.44140625" customWidth="1"/>
    <col min="2" max="2" width="17.44140625" customWidth="1"/>
    <col min="3" max="3" width="29.109375" customWidth="1"/>
    <col min="4" max="4" width="21.77734375" customWidth="1"/>
    <col min="5" max="5" width="22.5546875" customWidth="1"/>
    <col min="6" max="6" width="15" customWidth="1"/>
    <col min="7" max="7" width="28.109375" customWidth="1"/>
    <col min="9" max="9" width="14.77734375" customWidth="1"/>
  </cols>
  <sheetData>
    <row r="1" spans="1:9" ht="13.8" x14ac:dyDescent="0.25">
      <c r="A1" s="84" t="s">
        <v>4</v>
      </c>
      <c r="B1" s="81"/>
      <c r="C1" s="1" t="s">
        <v>29</v>
      </c>
      <c r="D1" s="4" t="s">
        <v>5</v>
      </c>
      <c r="E1" s="5">
        <v>44959</v>
      </c>
      <c r="F1" s="6" t="s">
        <v>6</v>
      </c>
      <c r="G1" s="5">
        <v>44959</v>
      </c>
      <c r="H1" s="85" t="s">
        <v>7</v>
      </c>
      <c r="I1" s="81"/>
    </row>
    <row r="2" spans="1:9" ht="13.8" x14ac:dyDescent="0.25">
      <c r="A2" s="83" t="s">
        <v>8</v>
      </c>
      <c r="B2" s="81"/>
      <c r="C2" s="2" t="s">
        <v>160</v>
      </c>
      <c r="D2" s="4" t="s">
        <v>9</v>
      </c>
      <c r="E2" s="5" t="s">
        <v>27</v>
      </c>
      <c r="F2" s="8" t="s">
        <v>10</v>
      </c>
      <c r="G2" s="5" t="s">
        <v>28</v>
      </c>
      <c r="H2" s="4" t="s">
        <v>0</v>
      </c>
      <c r="I2" s="41">
        <f>COUNTIF(G7:G43, "PASS")</f>
        <v>1</v>
      </c>
    </row>
    <row r="3" spans="1:9" ht="13.8" x14ac:dyDescent="0.25">
      <c r="A3" s="83"/>
      <c r="B3" s="81"/>
      <c r="C3" s="2"/>
      <c r="D3" s="9" t="s">
        <v>11</v>
      </c>
      <c r="E3" s="3" t="s">
        <v>30</v>
      </c>
      <c r="F3" s="1" t="s">
        <v>12</v>
      </c>
      <c r="G3" s="2">
        <v>1</v>
      </c>
      <c r="H3" s="10" t="s">
        <v>1</v>
      </c>
      <c r="I3" s="21">
        <v>4</v>
      </c>
    </row>
    <row r="4" spans="1:9" ht="27.6" x14ac:dyDescent="0.25">
      <c r="A4" s="83" t="s">
        <v>13</v>
      </c>
      <c r="B4" s="81"/>
      <c r="C4" s="2" t="s">
        <v>26</v>
      </c>
      <c r="D4" s="9" t="s">
        <v>14</v>
      </c>
      <c r="E4" s="2" t="s">
        <v>30</v>
      </c>
      <c r="F4" s="1" t="s">
        <v>15</v>
      </c>
      <c r="G4" s="11" t="s">
        <v>3</v>
      </c>
      <c r="H4" s="4" t="s">
        <v>16</v>
      </c>
      <c r="I4" s="22">
        <f>COUNTIF(G8:G43, "WARNING")</f>
        <v>0</v>
      </c>
    </row>
    <row r="5" spans="1:9" ht="13.8" x14ac:dyDescent="0.25">
      <c r="A5" s="80" t="s">
        <v>17</v>
      </c>
      <c r="B5" s="81"/>
      <c r="C5" s="80"/>
      <c r="D5" s="82"/>
      <c r="E5" s="82"/>
      <c r="F5" s="82"/>
      <c r="G5" s="81"/>
      <c r="H5" s="12" t="s">
        <v>18</v>
      </c>
      <c r="I5" s="23">
        <f>SUM(I2:I4:I3)</f>
        <v>5</v>
      </c>
    </row>
    <row r="6" spans="1:9" ht="27.6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82.8" x14ac:dyDescent="0.25">
      <c r="A7" s="15" t="s">
        <v>133</v>
      </c>
      <c r="B7" s="16" t="s">
        <v>134</v>
      </c>
      <c r="C7" s="36" t="s">
        <v>135</v>
      </c>
      <c r="D7" s="17" t="s">
        <v>136</v>
      </c>
      <c r="E7" s="16" t="s">
        <v>137</v>
      </c>
      <c r="F7" s="17" t="s">
        <v>138</v>
      </c>
      <c r="G7" s="18" t="s">
        <v>0</v>
      </c>
      <c r="H7" s="37"/>
      <c r="I7" s="7"/>
    </row>
    <row r="8" spans="1:9" ht="82.8" x14ac:dyDescent="0.25">
      <c r="A8" s="15" t="s">
        <v>139</v>
      </c>
      <c r="B8" s="16" t="s">
        <v>140</v>
      </c>
      <c r="C8" s="39" t="s">
        <v>141</v>
      </c>
      <c r="D8" s="17" t="s">
        <v>142</v>
      </c>
      <c r="E8" s="16" t="s">
        <v>143</v>
      </c>
      <c r="F8" s="17" t="s">
        <v>144</v>
      </c>
      <c r="G8" s="18" t="s">
        <v>1</v>
      </c>
      <c r="H8" s="37"/>
      <c r="I8" s="7"/>
    </row>
    <row r="9" spans="1:9" ht="96.6" x14ac:dyDescent="0.25">
      <c r="A9" s="15" t="s">
        <v>145</v>
      </c>
      <c r="B9" s="16" t="s">
        <v>146</v>
      </c>
      <c r="C9" s="36" t="s">
        <v>147</v>
      </c>
      <c r="D9" s="16" t="s">
        <v>148</v>
      </c>
      <c r="E9" s="16" t="s">
        <v>149</v>
      </c>
      <c r="F9" s="16" t="s">
        <v>150</v>
      </c>
      <c r="G9" s="40" t="s">
        <v>1</v>
      </c>
      <c r="H9" s="32"/>
      <c r="I9" s="7"/>
    </row>
    <row r="10" spans="1:9" ht="69" x14ac:dyDescent="0.25">
      <c r="A10" s="19" t="s">
        <v>388</v>
      </c>
      <c r="B10" s="16" t="s">
        <v>151</v>
      </c>
      <c r="C10" s="46" t="s">
        <v>152</v>
      </c>
      <c r="D10" s="16" t="s">
        <v>153</v>
      </c>
      <c r="E10" s="16" t="s">
        <v>154</v>
      </c>
      <c r="F10" s="16" t="s">
        <v>155</v>
      </c>
      <c r="G10" s="57" t="s">
        <v>1</v>
      </c>
      <c r="H10" s="32"/>
      <c r="I10" s="7"/>
    </row>
    <row r="11" spans="1:9" ht="82.8" x14ac:dyDescent="0.25">
      <c r="A11" s="51" t="s">
        <v>389</v>
      </c>
      <c r="B11" s="54" t="s">
        <v>156</v>
      </c>
      <c r="C11" s="55">
        <v>44562</v>
      </c>
      <c r="D11" s="54" t="s">
        <v>157</v>
      </c>
      <c r="E11" s="54" t="s">
        <v>158</v>
      </c>
      <c r="F11" s="54" t="s">
        <v>155</v>
      </c>
      <c r="G11" s="56" t="s">
        <v>159</v>
      </c>
    </row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G8:G9">
    <cfRule type="cellIs" dxfId="111" priority="13" operator="equal">
      <formula>"FAIL"</formula>
    </cfRule>
  </conditionalFormatting>
  <conditionalFormatting sqref="G8:G9">
    <cfRule type="cellIs" dxfId="110" priority="14" operator="equal">
      <formula>"PASS"</formula>
    </cfRule>
  </conditionalFormatting>
  <conditionalFormatting sqref="G8:G9">
    <cfRule type="cellIs" dxfId="109" priority="15" operator="equal">
      <formula>"WARNING"</formula>
    </cfRule>
  </conditionalFormatting>
  <conditionalFormatting sqref="G8:G9">
    <cfRule type="containsBlanks" dxfId="108" priority="16">
      <formula>LEN(TRIM(G8))=0</formula>
    </cfRule>
  </conditionalFormatting>
  <conditionalFormatting sqref="I2">
    <cfRule type="cellIs" dxfId="107" priority="9" operator="equal">
      <formula>"FAIL"</formula>
    </cfRule>
  </conditionalFormatting>
  <conditionalFormatting sqref="I2">
    <cfRule type="cellIs" dxfId="106" priority="10" operator="equal">
      <formula>"PASS"</formula>
    </cfRule>
  </conditionalFormatting>
  <conditionalFormatting sqref="I2">
    <cfRule type="cellIs" dxfId="105" priority="11" operator="equal">
      <formula>"WARNING"</formula>
    </cfRule>
  </conditionalFormatting>
  <conditionalFormatting sqref="I2">
    <cfRule type="containsBlanks" dxfId="104" priority="12">
      <formula>LEN(TRIM(I2))=0</formula>
    </cfRule>
  </conditionalFormatting>
  <conditionalFormatting sqref="I3">
    <cfRule type="cellIs" dxfId="103" priority="5" operator="equal">
      <formula>"FAIL"</formula>
    </cfRule>
  </conditionalFormatting>
  <conditionalFormatting sqref="I3">
    <cfRule type="cellIs" dxfId="102" priority="6" operator="equal">
      <formula>"PASS"</formula>
    </cfRule>
  </conditionalFormatting>
  <conditionalFormatting sqref="I3">
    <cfRule type="cellIs" dxfId="101" priority="7" operator="equal">
      <formula>"WARNING"</formula>
    </cfRule>
  </conditionalFormatting>
  <conditionalFormatting sqref="I3">
    <cfRule type="containsBlanks" dxfId="100" priority="8">
      <formula>LEN(TRIM(I3))=0</formula>
    </cfRule>
  </conditionalFormatting>
  <conditionalFormatting sqref="G7">
    <cfRule type="cellIs" dxfId="99" priority="1" operator="equal">
      <formula>"FAIL"</formula>
    </cfRule>
  </conditionalFormatting>
  <conditionalFormatting sqref="G7">
    <cfRule type="cellIs" dxfId="98" priority="2" operator="equal">
      <formula>"PASS"</formula>
    </cfRule>
  </conditionalFormatting>
  <conditionalFormatting sqref="G7">
    <cfRule type="cellIs" dxfId="97" priority="3" operator="equal">
      <formula>"WARNING"</formula>
    </cfRule>
  </conditionalFormatting>
  <conditionalFormatting sqref="G7">
    <cfRule type="containsBlanks" dxfId="96" priority="4">
      <formula>LEN(TRIM(G7))=0</formula>
    </cfRule>
  </conditionalFormatting>
  <dataValidations count="1">
    <dataValidation type="list" allowBlank="1" showInputMessage="1" showErrorMessage="1" prompt="Click and enter a value from the list of items" sqref="G7:G9" xr:uid="{52BBF9D8-4C6E-4134-94CF-E99E0E0C783A}">
      <formula1>"PASS,FAIL,WARNING"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2B22-2E2F-441C-B4DA-40078D73EEC1}">
  <dimension ref="A1:I12"/>
  <sheetViews>
    <sheetView workbookViewId="0">
      <selection activeCell="C2" sqref="C2"/>
    </sheetView>
  </sheetViews>
  <sheetFormatPr defaultRowHeight="13.2" x14ac:dyDescent="0.25"/>
  <cols>
    <col min="1" max="1" width="16.44140625" customWidth="1"/>
    <col min="2" max="2" width="17.44140625" customWidth="1"/>
    <col min="3" max="3" width="29.109375" customWidth="1"/>
    <col min="4" max="4" width="21.77734375" customWidth="1"/>
    <col min="5" max="5" width="22.5546875" customWidth="1"/>
    <col min="6" max="6" width="15" customWidth="1"/>
    <col min="7" max="7" width="28.109375" customWidth="1"/>
    <col min="9" max="9" width="14.77734375" customWidth="1"/>
  </cols>
  <sheetData>
    <row r="1" spans="1:9" ht="13.8" x14ac:dyDescent="0.25">
      <c r="A1" s="84" t="s">
        <v>4</v>
      </c>
      <c r="B1" s="81"/>
      <c r="C1" s="1" t="s">
        <v>29</v>
      </c>
      <c r="D1" s="4" t="s">
        <v>5</v>
      </c>
      <c r="E1" s="5">
        <v>44959</v>
      </c>
      <c r="F1" s="6" t="s">
        <v>6</v>
      </c>
      <c r="G1" s="5">
        <v>44959</v>
      </c>
      <c r="H1" s="85" t="s">
        <v>7</v>
      </c>
      <c r="I1" s="81"/>
    </row>
    <row r="2" spans="1:9" ht="13.8" x14ac:dyDescent="0.25">
      <c r="A2" s="83" t="s">
        <v>8</v>
      </c>
      <c r="B2" s="81"/>
      <c r="C2" s="2" t="s">
        <v>161</v>
      </c>
      <c r="D2" s="4" t="s">
        <v>9</v>
      </c>
      <c r="E2" s="5" t="s">
        <v>27</v>
      </c>
      <c r="F2" s="8" t="s">
        <v>10</v>
      </c>
      <c r="G2" s="5" t="s">
        <v>28</v>
      </c>
      <c r="H2" s="4" t="s">
        <v>0</v>
      </c>
      <c r="I2" s="41">
        <v>5</v>
      </c>
    </row>
    <row r="3" spans="1:9" ht="13.8" x14ac:dyDescent="0.25">
      <c r="A3" s="83"/>
      <c r="B3" s="81"/>
      <c r="C3" s="2"/>
      <c r="D3" s="9" t="s">
        <v>11</v>
      </c>
      <c r="E3" s="3" t="s">
        <v>30</v>
      </c>
      <c r="F3" s="1" t="s">
        <v>12</v>
      </c>
      <c r="G3" s="2">
        <v>1</v>
      </c>
      <c r="H3" s="10" t="s">
        <v>1</v>
      </c>
      <c r="I3" s="21">
        <f>COUNTIF(G8:G43, "Fail")</f>
        <v>1</v>
      </c>
    </row>
    <row r="4" spans="1:9" ht="27.6" x14ac:dyDescent="0.25">
      <c r="A4" s="83" t="s">
        <v>13</v>
      </c>
      <c r="B4" s="81"/>
      <c r="C4" s="2" t="s">
        <v>26</v>
      </c>
      <c r="D4" s="9" t="s">
        <v>14</v>
      </c>
      <c r="E4" s="2" t="s">
        <v>30</v>
      </c>
      <c r="F4" s="1" t="s">
        <v>15</v>
      </c>
      <c r="G4" s="11" t="s">
        <v>3</v>
      </c>
      <c r="H4" s="4" t="s">
        <v>16</v>
      </c>
      <c r="I4" s="22">
        <f>COUNTIF(G8:G43, "WARNING")</f>
        <v>0</v>
      </c>
    </row>
    <row r="5" spans="1:9" ht="13.8" x14ac:dyDescent="0.25">
      <c r="A5" s="80" t="s">
        <v>17</v>
      </c>
      <c r="B5" s="81"/>
      <c r="C5" s="80"/>
      <c r="D5" s="82"/>
      <c r="E5" s="82"/>
      <c r="F5" s="82"/>
      <c r="G5" s="81"/>
      <c r="H5" s="12" t="s">
        <v>18</v>
      </c>
      <c r="I5" s="23">
        <f>SUM(I2:I4:I3)</f>
        <v>6</v>
      </c>
    </row>
    <row r="6" spans="1:9" ht="27.6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69" x14ac:dyDescent="0.25">
      <c r="A7" s="15" t="s">
        <v>191</v>
      </c>
      <c r="B7" s="16" t="s">
        <v>166</v>
      </c>
      <c r="C7" s="36" t="s">
        <v>162</v>
      </c>
      <c r="D7" s="17" t="s">
        <v>163</v>
      </c>
      <c r="E7" s="16" t="s">
        <v>164</v>
      </c>
      <c r="F7" s="17" t="s">
        <v>165</v>
      </c>
      <c r="G7" s="18" t="s">
        <v>0</v>
      </c>
      <c r="H7" s="37"/>
      <c r="I7" s="7"/>
    </row>
    <row r="8" spans="1:9" ht="82.8" x14ac:dyDescent="0.25">
      <c r="A8" s="15" t="s">
        <v>192</v>
      </c>
      <c r="B8" s="16" t="s">
        <v>167</v>
      </c>
      <c r="C8" s="39" t="s">
        <v>168</v>
      </c>
      <c r="D8" s="17" t="s">
        <v>169</v>
      </c>
      <c r="E8" s="16" t="s">
        <v>170</v>
      </c>
      <c r="F8" s="17" t="s">
        <v>165</v>
      </c>
      <c r="G8" s="18" t="s">
        <v>0</v>
      </c>
      <c r="H8" s="37"/>
      <c r="I8" s="7"/>
    </row>
    <row r="9" spans="1:9" ht="82.8" x14ac:dyDescent="0.25">
      <c r="A9" s="15" t="s">
        <v>193</v>
      </c>
      <c r="B9" s="16" t="s">
        <v>171</v>
      </c>
      <c r="C9" s="36" t="s">
        <v>172</v>
      </c>
      <c r="D9" s="16" t="s">
        <v>173</v>
      </c>
      <c r="E9" s="16" t="s">
        <v>174</v>
      </c>
      <c r="F9" s="16" t="s">
        <v>165</v>
      </c>
      <c r="G9" s="40" t="s">
        <v>0</v>
      </c>
      <c r="H9" s="32"/>
      <c r="I9" s="7"/>
    </row>
    <row r="10" spans="1:9" ht="96.6" x14ac:dyDescent="0.25">
      <c r="A10" s="19" t="s">
        <v>194</v>
      </c>
      <c r="B10" s="16" t="s">
        <v>175</v>
      </c>
      <c r="C10" s="46" t="s">
        <v>176</v>
      </c>
      <c r="D10" s="16" t="s">
        <v>177</v>
      </c>
      <c r="E10" s="16" t="s">
        <v>178</v>
      </c>
      <c r="F10" s="16" t="s">
        <v>179</v>
      </c>
      <c r="G10" s="57" t="s">
        <v>1</v>
      </c>
      <c r="H10" s="32"/>
      <c r="I10" s="7"/>
    </row>
    <row r="11" spans="1:9" ht="82.8" x14ac:dyDescent="0.25">
      <c r="A11" s="51" t="s">
        <v>195</v>
      </c>
      <c r="B11" s="54" t="s">
        <v>180</v>
      </c>
      <c r="C11" s="58" t="s">
        <v>181</v>
      </c>
      <c r="D11" s="54" t="s">
        <v>182</v>
      </c>
      <c r="E11" s="54" t="s">
        <v>183</v>
      </c>
      <c r="F11" s="54" t="s">
        <v>165</v>
      </c>
      <c r="G11" s="59" t="s">
        <v>184</v>
      </c>
    </row>
    <row r="12" spans="1:9" ht="82.8" x14ac:dyDescent="0.25">
      <c r="A12" s="7" t="s">
        <v>387</v>
      </c>
      <c r="B12" s="54" t="s">
        <v>185</v>
      </c>
      <c r="C12" s="52" t="s">
        <v>186</v>
      </c>
      <c r="D12" s="54" t="s">
        <v>187</v>
      </c>
      <c r="E12" s="54" t="s">
        <v>188</v>
      </c>
      <c r="F12" s="54" t="s">
        <v>189</v>
      </c>
      <c r="G12" s="60" t="s">
        <v>0</v>
      </c>
    </row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G8:G9">
    <cfRule type="cellIs" dxfId="95" priority="13" operator="equal">
      <formula>"FAIL"</formula>
    </cfRule>
  </conditionalFormatting>
  <conditionalFormatting sqref="G8:G9">
    <cfRule type="cellIs" dxfId="94" priority="14" operator="equal">
      <formula>"PASS"</formula>
    </cfRule>
  </conditionalFormatting>
  <conditionalFormatting sqref="G8:G9">
    <cfRule type="cellIs" dxfId="93" priority="15" operator="equal">
      <formula>"WARNING"</formula>
    </cfRule>
  </conditionalFormatting>
  <conditionalFormatting sqref="G8:G9">
    <cfRule type="containsBlanks" dxfId="92" priority="16">
      <formula>LEN(TRIM(G8))=0</formula>
    </cfRule>
  </conditionalFormatting>
  <conditionalFormatting sqref="I2">
    <cfRule type="cellIs" dxfId="91" priority="9" operator="equal">
      <formula>"FAIL"</formula>
    </cfRule>
  </conditionalFormatting>
  <conditionalFormatting sqref="I2">
    <cfRule type="cellIs" dxfId="90" priority="10" operator="equal">
      <formula>"PASS"</formula>
    </cfRule>
  </conditionalFormatting>
  <conditionalFormatting sqref="I2">
    <cfRule type="cellIs" dxfId="89" priority="11" operator="equal">
      <formula>"WARNING"</formula>
    </cfRule>
  </conditionalFormatting>
  <conditionalFormatting sqref="I2">
    <cfRule type="containsBlanks" dxfId="88" priority="12">
      <formula>LEN(TRIM(I2))=0</formula>
    </cfRule>
  </conditionalFormatting>
  <conditionalFormatting sqref="I3">
    <cfRule type="cellIs" dxfId="87" priority="5" operator="equal">
      <formula>"FAIL"</formula>
    </cfRule>
  </conditionalFormatting>
  <conditionalFormatting sqref="I3">
    <cfRule type="cellIs" dxfId="86" priority="6" operator="equal">
      <formula>"PASS"</formula>
    </cfRule>
  </conditionalFormatting>
  <conditionalFormatting sqref="I3">
    <cfRule type="cellIs" dxfId="85" priority="7" operator="equal">
      <formula>"WARNING"</formula>
    </cfRule>
  </conditionalFormatting>
  <conditionalFormatting sqref="I3">
    <cfRule type="containsBlanks" dxfId="84" priority="8">
      <formula>LEN(TRIM(I3))=0</formula>
    </cfRule>
  </conditionalFormatting>
  <conditionalFormatting sqref="G7">
    <cfRule type="cellIs" dxfId="83" priority="1" operator="equal">
      <formula>"FAIL"</formula>
    </cfRule>
  </conditionalFormatting>
  <conditionalFormatting sqref="G7">
    <cfRule type="cellIs" dxfId="82" priority="2" operator="equal">
      <formula>"PASS"</formula>
    </cfRule>
  </conditionalFormatting>
  <conditionalFormatting sqref="G7">
    <cfRule type="cellIs" dxfId="81" priority="3" operator="equal">
      <formula>"WARNING"</formula>
    </cfRule>
  </conditionalFormatting>
  <conditionalFormatting sqref="G7">
    <cfRule type="containsBlanks" dxfId="80" priority="4">
      <formula>LEN(TRIM(G7))=0</formula>
    </cfRule>
  </conditionalFormatting>
  <dataValidations xWindow="1261" yWindow="661" count="1">
    <dataValidation type="list" allowBlank="1" showInputMessage="1" showErrorMessage="1" prompt="Click and enter a value from the list of items" sqref="G7:G9" xr:uid="{4AB1E2DC-42DE-4DEB-BD5A-87F28A336D25}">
      <formula1>"PASS,FAIL,WARNING"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E43A-F345-47BE-976A-47C3C11CE5E8}">
  <dimension ref="A1:I9"/>
  <sheetViews>
    <sheetView workbookViewId="0">
      <selection activeCell="C2" sqref="C2"/>
    </sheetView>
  </sheetViews>
  <sheetFormatPr defaultRowHeight="13.2" x14ac:dyDescent="0.25"/>
  <cols>
    <col min="1" max="1" width="24.21875" customWidth="1"/>
    <col min="2" max="2" width="19.21875" customWidth="1"/>
    <col min="3" max="3" width="24.21875" customWidth="1"/>
    <col min="4" max="4" width="17.33203125" customWidth="1"/>
    <col min="5" max="5" width="15.44140625" customWidth="1"/>
    <col min="6" max="6" width="20.109375" customWidth="1"/>
    <col min="7" max="7" width="21" customWidth="1"/>
    <col min="8" max="8" width="18.33203125" customWidth="1"/>
    <col min="9" max="9" width="23.21875" customWidth="1"/>
  </cols>
  <sheetData>
    <row r="1" spans="1:9" ht="13.8" x14ac:dyDescent="0.25">
      <c r="A1" s="84" t="s">
        <v>4</v>
      </c>
      <c r="B1" s="81"/>
      <c r="C1" s="1" t="s">
        <v>29</v>
      </c>
      <c r="D1" s="4" t="s">
        <v>5</v>
      </c>
      <c r="E1" s="5">
        <v>44959</v>
      </c>
      <c r="F1" s="6" t="s">
        <v>6</v>
      </c>
      <c r="G1" s="5">
        <v>44959</v>
      </c>
      <c r="H1" s="85" t="s">
        <v>7</v>
      </c>
      <c r="I1" s="81"/>
    </row>
    <row r="2" spans="1:9" ht="27.6" x14ac:dyDescent="0.25">
      <c r="A2" s="83" t="s">
        <v>8</v>
      </c>
      <c r="B2" s="81"/>
      <c r="C2" s="2" t="s">
        <v>190</v>
      </c>
      <c r="D2" s="4" t="s">
        <v>9</v>
      </c>
      <c r="E2" s="5" t="s">
        <v>27</v>
      </c>
      <c r="F2" s="8" t="s">
        <v>10</v>
      </c>
      <c r="G2" s="5" t="s">
        <v>28</v>
      </c>
      <c r="H2" s="4" t="s">
        <v>0</v>
      </c>
      <c r="I2" s="41">
        <f>COUNTIF(G7:G40, "PASS")</f>
        <v>3</v>
      </c>
    </row>
    <row r="3" spans="1:9" ht="27.6" x14ac:dyDescent="0.25">
      <c r="A3" s="83"/>
      <c r="B3" s="81"/>
      <c r="C3" s="2"/>
      <c r="D3" s="9" t="s">
        <v>11</v>
      </c>
      <c r="E3" s="3" t="s">
        <v>30</v>
      </c>
      <c r="F3" s="1" t="s">
        <v>12</v>
      </c>
      <c r="G3" s="2">
        <v>1</v>
      </c>
      <c r="H3" s="10" t="s">
        <v>1</v>
      </c>
      <c r="I3" s="21">
        <f>COUNTIF(G8:G40, "Fail")</f>
        <v>0</v>
      </c>
    </row>
    <row r="4" spans="1:9" ht="27.6" x14ac:dyDescent="0.25">
      <c r="A4" s="83" t="s">
        <v>13</v>
      </c>
      <c r="B4" s="81"/>
      <c r="C4" s="2" t="s">
        <v>26</v>
      </c>
      <c r="D4" s="9" t="s">
        <v>14</v>
      </c>
      <c r="E4" s="2" t="s">
        <v>30</v>
      </c>
      <c r="F4" s="1" t="s">
        <v>15</v>
      </c>
      <c r="G4" s="11" t="s">
        <v>3</v>
      </c>
      <c r="H4" s="4" t="s">
        <v>16</v>
      </c>
      <c r="I4" s="22">
        <f>COUNTIF(G8:G40, "WARNING")</f>
        <v>0</v>
      </c>
    </row>
    <row r="5" spans="1:9" ht="13.8" x14ac:dyDescent="0.25">
      <c r="A5" s="80" t="s">
        <v>17</v>
      </c>
      <c r="B5" s="81"/>
      <c r="C5" s="80"/>
      <c r="D5" s="82"/>
      <c r="E5" s="82"/>
      <c r="F5" s="82"/>
      <c r="G5" s="81"/>
      <c r="H5" s="12" t="s">
        <v>18</v>
      </c>
      <c r="I5" s="23">
        <f>SUM(I2:I4:I3)</f>
        <v>3</v>
      </c>
    </row>
    <row r="6" spans="1:9" ht="13.8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96.6" x14ac:dyDescent="0.25">
      <c r="A7" s="15" t="s">
        <v>196</v>
      </c>
      <c r="B7" s="16" t="s">
        <v>197</v>
      </c>
      <c r="C7" s="36" t="s">
        <v>198</v>
      </c>
      <c r="D7" s="17" t="s">
        <v>208</v>
      </c>
      <c r="E7" s="16" t="s">
        <v>199</v>
      </c>
      <c r="F7" s="17" t="s">
        <v>200</v>
      </c>
      <c r="G7" s="18" t="s">
        <v>0</v>
      </c>
      <c r="H7" s="37"/>
      <c r="I7" s="7"/>
    </row>
    <row r="8" spans="1:9" ht="138" x14ac:dyDescent="0.25">
      <c r="A8" s="15" t="s">
        <v>201</v>
      </c>
      <c r="B8" s="16" t="s">
        <v>202</v>
      </c>
      <c r="C8" s="39" t="s">
        <v>203</v>
      </c>
      <c r="D8" s="17" t="s">
        <v>204</v>
      </c>
      <c r="E8" s="16" t="s">
        <v>206</v>
      </c>
      <c r="F8" s="17" t="s">
        <v>205</v>
      </c>
      <c r="G8" s="18" t="s">
        <v>0</v>
      </c>
      <c r="H8" s="37"/>
      <c r="I8" s="7"/>
    </row>
    <row r="9" spans="1:9" ht="138" x14ac:dyDescent="0.25">
      <c r="A9" s="15" t="s">
        <v>207</v>
      </c>
      <c r="B9" s="16" t="s">
        <v>209</v>
      </c>
      <c r="C9" s="36" t="s">
        <v>203</v>
      </c>
      <c r="D9" s="16" t="s">
        <v>210</v>
      </c>
      <c r="E9" s="16" t="s">
        <v>211</v>
      </c>
      <c r="F9" s="16" t="s">
        <v>212</v>
      </c>
      <c r="G9" s="40" t="s">
        <v>0</v>
      </c>
      <c r="H9" s="32"/>
      <c r="I9" s="7"/>
    </row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G8:G9">
    <cfRule type="cellIs" dxfId="79" priority="13" operator="equal">
      <formula>"FAIL"</formula>
    </cfRule>
  </conditionalFormatting>
  <conditionalFormatting sqref="G8:G9">
    <cfRule type="cellIs" dxfId="78" priority="14" operator="equal">
      <formula>"PASS"</formula>
    </cfRule>
  </conditionalFormatting>
  <conditionalFormatting sqref="G8:G9">
    <cfRule type="cellIs" dxfId="77" priority="15" operator="equal">
      <formula>"WARNING"</formula>
    </cfRule>
  </conditionalFormatting>
  <conditionalFormatting sqref="G8:G9">
    <cfRule type="containsBlanks" dxfId="76" priority="16">
      <formula>LEN(TRIM(G8))=0</formula>
    </cfRule>
  </conditionalFormatting>
  <conditionalFormatting sqref="I2">
    <cfRule type="cellIs" dxfId="75" priority="9" operator="equal">
      <formula>"FAIL"</formula>
    </cfRule>
  </conditionalFormatting>
  <conditionalFormatting sqref="I2">
    <cfRule type="cellIs" dxfId="74" priority="10" operator="equal">
      <formula>"PASS"</formula>
    </cfRule>
  </conditionalFormatting>
  <conditionalFormatting sqref="I2">
    <cfRule type="cellIs" dxfId="73" priority="11" operator="equal">
      <formula>"WARNING"</formula>
    </cfRule>
  </conditionalFormatting>
  <conditionalFormatting sqref="I2">
    <cfRule type="containsBlanks" dxfId="72" priority="12">
      <formula>LEN(TRIM(I2))=0</formula>
    </cfRule>
  </conditionalFormatting>
  <conditionalFormatting sqref="I3">
    <cfRule type="cellIs" dxfId="71" priority="5" operator="equal">
      <formula>"FAIL"</formula>
    </cfRule>
  </conditionalFormatting>
  <conditionalFormatting sqref="I3">
    <cfRule type="cellIs" dxfId="70" priority="6" operator="equal">
      <formula>"PASS"</formula>
    </cfRule>
  </conditionalFormatting>
  <conditionalFormatting sqref="I3">
    <cfRule type="cellIs" dxfId="69" priority="7" operator="equal">
      <formula>"WARNING"</formula>
    </cfRule>
  </conditionalFormatting>
  <conditionalFormatting sqref="I3">
    <cfRule type="containsBlanks" dxfId="68" priority="8">
      <formula>LEN(TRIM(I3))=0</formula>
    </cfRule>
  </conditionalFormatting>
  <conditionalFormatting sqref="G7">
    <cfRule type="cellIs" dxfId="67" priority="1" operator="equal">
      <formula>"FAIL"</formula>
    </cfRule>
  </conditionalFormatting>
  <conditionalFormatting sqref="G7">
    <cfRule type="cellIs" dxfId="66" priority="2" operator="equal">
      <formula>"PASS"</formula>
    </cfRule>
  </conditionalFormatting>
  <conditionalFormatting sqref="G7">
    <cfRule type="cellIs" dxfId="65" priority="3" operator="equal">
      <formula>"WARNING"</formula>
    </cfRule>
  </conditionalFormatting>
  <conditionalFormatting sqref="G7">
    <cfRule type="containsBlanks" dxfId="64" priority="4">
      <formula>LEN(TRIM(G7))=0</formula>
    </cfRule>
  </conditionalFormatting>
  <dataValidations count="1">
    <dataValidation type="list" allowBlank="1" showInputMessage="1" showErrorMessage="1" prompt="Click and enter a value from the list of items" sqref="G7:G9" xr:uid="{1BFF0C2D-6A53-436D-8F34-95AEF52457C6}">
      <formula1>"PASS,FAIL,WARNING"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1EA6-1EA3-4BFA-B6B7-4CB4A138DDB1}">
  <dimension ref="A1:I12"/>
  <sheetViews>
    <sheetView workbookViewId="0">
      <selection activeCell="C2" sqref="C2"/>
    </sheetView>
  </sheetViews>
  <sheetFormatPr defaultRowHeight="13.2" x14ac:dyDescent="0.25"/>
  <cols>
    <col min="1" max="1" width="24.21875" customWidth="1"/>
    <col min="2" max="2" width="19.21875" customWidth="1"/>
    <col min="3" max="3" width="24.21875" customWidth="1"/>
    <col min="4" max="4" width="20.6640625" customWidth="1"/>
    <col min="5" max="5" width="19.33203125" customWidth="1"/>
    <col min="6" max="6" width="20.109375" customWidth="1"/>
    <col min="7" max="7" width="21" customWidth="1"/>
    <col min="8" max="8" width="19.44140625" customWidth="1"/>
    <col min="9" max="9" width="16.33203125" customWidth="1"/>
  </cols>
  <sheetData>
    <row r="1" spans="1:9" ht="13.8" x14ac:dyDescent="0.25">
      <c r="A1" s="84" t="s">
        <v>4</v>
      </c>
      <c r="B1" s="81"/>
      <c r="C1" s="1" t="s">
        <v>29</v>
      </c>
      <c r="D1" s="4" t="s">
        <v>5</v>
      </c>
      <c r="E1" s="5">
        <v>44959</v>
      </c>
      <c r="F1" s="6" t="s">
        <v>6</v>
      </c>
      <c r="G1" s="5">
        <v>44959</v>
      </c>
      <c r="H1" s="85" t="s">
        <v>7</v>
      </c>
      <c r="I1" s="81"/>
    </row>
    <row r="2" spans="1:9" ht="27.6" x14ac:dyDescent="0.25">
      <c r="A2" s="83" t="s">
        <v>8</v>
      </c>
      <c r="B2" s="81"/>
      <c r="C2" s="2" t="s">
        <v>213</v>
      </c>
      <c r="D2" s="4" t="s">
        <v>9</v>
      </c>
      <c r="E2" s="5" t="s">
        <v>27</v>
      </c>
      <c r="F2" s="8" t="s">
        <v>10</v>
      </c>
      <c r="G2" s="5" t="s">
        <v>28</v>
      </c>
      <c r="H2" s="4" t="s">
        <v>0</v>
      </c>
      <c r="I2" s="41">
        <f>COUNTIF(G7:G40, "PASS")</f>
        <v>0</v>
      </c>
    </row>
    <row r="3" spans="1:9" ht="13.8" x14ac:dyDescent="0.25">
      <c r="A3" s="83"/>
      <c r="B3" s="81"/>
      <c r="C3" s="2"/>
      <c r="D3" s="9" t="s">
        <v>11</v>
      </c>
      <c r="E3" s="3" t="s">
        <v>30</v>
      </c>
      <c r="F3" s="1" t="s">
        <v>12</v>
      </c>
      <c r="G3" s="2">
        <v>1</v>
      </c>
      <c r="H3" s="10" t="s">
        <v>1</v>
      </c>
      <c r="I3" s="21">
        <v>6</v>
      </c>
    </row>
    <row r="4" spans="1:9" ht="13.8" x14ac:dyDescent="0.25">
      <c r="A4" s="83" t="s">
        <v>13</v>
      </c>
      <c r="B4" s="81"/>
      <c r="C4" s="2" t="s">
        <v>26</v>
      </c>
      <c r="D4" s="9" t="s">
        <v>14</v>
      </c>
      <c r="E4" s="2" t="s">
        <v>30</v>
      </c>
      <c r="F4" s="1" t="s">
        <v>15</v>
      </c>
      <c r="G4" s="11" t="s">
        <v>3</v>
      </c>
      <c r="H4" s="4" t="s">
        <v>16</v>
      </c>
      <c r="I4" s="22">
        <f>COUNTIF(G8:G40, "WARNING")</f>
        <v>0</v>
      </c>
    </row>
    <row r="5" spans="1:9" ht="13.8" x14ac:dyDescent="0.25">
      <c r="A5" s="80" t="s">
        <v>17</v>
      </c>
      <c r="B5" s="81"/>
      <c r="C5" s="80"/>
      <c r="D5" s="82"/>
      <c r="E5" s="82"/>
      <c r="F5" s="82"/>
      <c r="G5" s="81"/>
      <c r="H5" s="12" t="s">
        <v>18</v>
      </c>
      <c r="I5" s="23">
        <f>SUM(I2:I4:I3)</f>
        <v>6</v>
      </c>
    </row>
    <row r="6" spans="1:9" ht="13.8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82.8" x14ac:dyDescent="0.25">
      <c r="A7" s="15" t="s">
        <v>214</v>
      </c>
      <c r="B7" s="16" t="s">
        <v>215</v>
      </c>
      <c r="C7" s="36" t="s">
        <v>216</v>
      </c>
      <c r="D7" s="17" t="s">
        <v>217</v>
      </c>
      <c r="E7" s="16" t="s">
        <v>218</v>
      </c>
      <c r="F7" s="17" t="s">
        <v>219</v>
      </c>
      <c r="G7" s="18" t="s">
        <v>1</v>
      </c>
      <c r="H7" s="37"/>
      <c r="I7" s="7"/>
    </row>
    <row r="8" spans="1:9" ht="82.8" x14ac:dyDescent="0.25">
      <c r="A8" s="15" t="s">
        <v>220</v>
      </c>
      <c r="B8" s="16" t="s">
        <v>215</v>
      </c>
      <c r="C8" s="39" t="s">
        <v>225</v>
      </c>
      <c r="D8" s="17" t="s">
        <v>217</v>
      </c>
      <c r="E8" s="16" t="s">
        <v>218</v>
      </c>
      <c r="F8" s="17" t="s">
        <v>219</v>
      </c>
      <c r="G8" s="18" t="s">
        <v>1</v>
      </c>
      <c r="H8" s="37"/>
      <c r="I8" s="7"/>
    </row>
    <row r="9" spans="1:9" ht="82.8" x14ac:dyDescent="0.25">
      <c r="A9" s="15" t="s">
        <v>221</v>
      </c>
      <c r="B9" s="16" t="s">
        <v>215</v>
      </c>
      <c r="C9" s="36" t="s">
        <v>226</v>
      </c>
      <c r="D9" s="16" t="s">
        <v>217</v>
      </c>
      <c r="E9" s="16" t="s">
        <v>218</v>
      </c>
      <c r="F9" s="16" t="s">
        <v>219</v>
      </c>
      <c r="G9" s="40" t="s">
        <v>1</v>
      </c>
      <c r="H9" s="32"/>
      <c r="I9" s="7"/>
    </row>
    <row r="10" spans="1:9" ht="82.8" x14ac:dyDescent="0.25">
      <c r="A10" s="61" t="s">
        <v>222</v>
      </c>
      <c r="B10" s="54" t="s">
        <v>215</v>
      </c>
      <c r="C10" s="53" t="s">
        <v>227</v>
      </c>
      <c r="D10" s="54" t="s">
        <v>217</v>
      </c>
      <c r="E10" s="54" t="s">
        <v>218</v>
      </c>
      <c r="F10" s="54" t="s">
        <v>219</v>
      </c>
      <c r="G10" s="63" t="s">
        <v>1</v>
      </c>
    </row>
    <row r="11" spans="1:9" ht="82.8" x14ac:dyDescent="0.25">
      <c r="A11" s="61" t="s">
        <v>223</v>
      </c>
      <c r="B11" s="54" t="s">
        <v>215</v>
      </c>
      <c r="C11" s="50" t="s">
        <v>228</v>
      </c>
      <c r="D11" s="54" t="s">
        <v>217</v>
      </c>
      <c r="E11" s="54" t="s">
        <v>218</v>
      </c>
      <c r="F11" t="s">
        <v>219</v>
      </c>
      <c r="G11" s="63" t="s">
        <v>1</v>
      </c>
    </row>
    <row r="12" spans="1:9" ht="82.8" x14ac:dyDescent="0.25">
      <c r="A12" s="61" t="s">
        <v>224</v>
      </c>
      <c r="B12" s="54" t="s">
        <v>215</v>
      </c>
      <c r="C12" s="50" t="s">
        <v>229</v>
      </c>
      <c r="D12" s="54" t="s">
        <v>217</v>
      </c>
      <c r="E12" s="54" t="s">
        <v>218</v>
      </c>
      <c r="F12" s="62" t="s">
        <v>219</v>
      </c>
      <c r="G12" s="63" t="s">
        <v>1</v>
      </c>
    </row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G8:G9">
    <cfRule type="cellIs" dxfId="63" priority="13" operator="equal">
      <formula>"FAIL"</formula>
    </cfRule>
  </conditionalFormatting>
  <conditionalFormatting sqref="G8:G9">
    <cfRule type="cellIs" dxfId="62" priority="14" operator="equal">
      <formula>"PASS"</formula>
    </cfRule>
  </conditionalFormatting>
  <conditionalFormatting sqref="G8:G9">
    <cfRule type="cellIs" dxfId="61" priority="15" operator="equal">
      <formula>"WARNING"</formula>
    </cfRule>
  </conditionalFormatting>
  <conditionalFormatting sqref="G8:G9">
    <cfRule type="containsBlanks" dxfId="60" priority="16">
      <formula>LEN(TRIM(G8))=0</formula>
    </cfRule>
  </conditionalFormatting>
  <conditionalFormatting sqref="I2">
    <cfRule type="cellIs" dxfId="59" priority="9" operator="equal">
      <formula>"FAIL"</formula>
    </cfRule>
  </conditionalFormatting>
  <conditionalFormatting sqref="I2">
    <cfRule type="cellIs" dxfId="58" priority="10" operator="equal">
      <formula>"PASS"</formula>
    </cfRule>
  </conditionalFormatting>
  <conditionalFormatting sqref="I2">
    <cfRule type="cellIs" dxfId="57" priority="11" operator="equal">
      <formula>"WARNING"</formula>
    </cfRule>
  </conditionalFormatting>
  <conditionalFormatting sqref="I2">
    <cfRule type="containsBlanks" dxfId="56" priority="12">
      <formula>LEN(TRIM(I2))=0</formula>
    </cfRule>
  </conditionalFormatting>
  <conditionalFormatting sqref="I3">
    <cfRule type="cellIs" dxfId="55" priority="5" operator="equal">
      <formula>"FAIL"</formula>
    </cfRule>
  </conditionalFormatting>
  <conditionalFormatting sqref="I3">
    <cfRule type="cellIs" dxfId="54" priority="6" operator="equal">
      <formula>"PASS"</formula>
    </cfRule>
  </conditionalFormatting>
  <conditionalFormatting sqref="I3">
    <cfRule type="cellIs" dxfId="53" priority="7" operator="equal">
      <formula>"WARNING"</formula>
    </cfRule>
  </conditionalFormatting>
  <conditionalFormatting sqref="I3">
    <cfRule type="containsBlanks" dxfId="52" priority="8">
      <formula>LEN(TRIM(I3))=0</formula>
    </cfRule>
  </conditionalFormatting>
  <conditionalFormatting sqref="G7">
    <cfRule type="cellIs" dxfId="51" priority="1" operator="equal">
      <formula>"FAIL"</formula>
    </cfRule>
  </conditionalFormatting>
  <conditionalFormatting sqref="G7">
    <cfRule type="cellIs" dxfId="50" priority="2" operator="equal">
      <formula>"PASS"</formula>
    </cfRule>
  </conditionalFormatting>
  <conditionalFormatting sqref="G7">
    <cfRule type="cellIs" dxfId="49" priority="3" operator="equal">
      <formula>"WARNING"</formula>
    </cfRule>
  </conditionalFormatting>
  <conditionalFormatting sqref="G7">
    <cfRule type="containsBlanks" dxfId="48" priority="4">
      <formula>LEN(TRIM(G7))=0</formula>
    </cfRule>
  </conditionalFormatting>
  <dataValidations count="1">
    <dataValidation type="list" allowBlank="1" showInputMessage="1" showErrorMessage="1" prompt="Click and enter a value from the list of items" sqref="G7:G9" xr:uid="{3756883F-E665-4E12-AF07-8DD065FCC7FC}">
      <formula1>"PASS,FAIL,WARNING"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1CA3-12DA-4BD2-B0F3-B4F27D683896}">
  <dimension ref="A1:I30"/>
  <sheetViews>
    <sheetView workbookViewId="0">
      <selection activeCell="C2" sqref="C2"/>
    </sheetView>
  </sheetViews>
  <sheetFormatPr defaultRowHeight="13.2" x14ac:dyDescent="0.25"/>
  <cols>
    <col min="1" max="1" width="22.21875" customWidth="1"/>
    <col min="2" max="2" width="19.109375" customWidth="1"/>
    <col min="3" max="3" width="22.33203125" customWidth="1"/>
    <col min="4" max="4" width="20.5546875" customWidth="1"/>
    <col min="5" max="5" width="23.109375" customWidth="1"/>
    <col min="6" max="6" width="20.5546875" customWidth="1"/>
    <col min="7" max="7" width="23.33203125" customWidth="1"/>
    <col min="8" max="8" width="16.44140625" customWidth="1"/>
    <col min="9" max="9" width="18.88671875" customWidth="1"/>
  </cols>
  <sheetData>
    <row r="1" spans="1:9" ht="13.8" x14ac:dyDescent="0.25">
      <c r="A1" s="84" t="s">
        <v>4</v>
      </c>
      <c r="B1" s="81"/>
      <c r="C1" s="1" t="s">
        <v>29</v>
      </c>
      <c r="D1" s="4" t="s">
        <v>5</v>
      </c>
      <c r="E1" s="5">
        <v>44959</v>
      </c>
      <c r="F1" s="6" t="s">
        <v>6</v>
      </c>
      <c r="G1" s="5">
        <v>44959</v>
      </c>
      <c r="H1" s="85" t="s">
        <v>7</v>
      </c>
      <c r="I1" s="81"/>
    </row>
    <row r="2" spans="1:9" ht="27.6" x14ac:dyDescent="0.25">
      <c r="A2" s="83" t="s">
        <v>8</v>
      </c>
      <c r="B2" s="81"/>
      <c r="C2" s="2" t="s">
        <v>230</v>
      </c>
      <c r="D2" s="4" t="s">
        <v>9</v>
      </c>
      <c r="E2" s="5" t="s">
        <v>27</v>
      </c>
      <c r="F2" s="8" t="s">
        <v>10</v>
      </c>
      <c r="G2" s="5" t="s">
        <v>28</v>
      </c>
      <c r="H2" s="4" t="s">
        <v>0</v>
      </c>
      <c r="I2" s="41">
        <v>9</v>
      </c>
    </row>
    <row r="3" spans="1:9" ht="13.8" x14ac:dyDescent="0.25">
      <c r="A3" s="83"/>
      <c r="B3" s="81"/>
      <c r="C3" s="2"/>
      <c r="D3" s="9" t="s">
        <v>11</v>
      </c>
      <c r="E3" s="3" t="s">
        <v>30</v>
      </c>
      <c r="F3" s="1" t="s">
        <v>12</v>
      </c>
      <c r="G3" s="2">
        <v>1</v>
      </c>
      <c r="H3" s="10" t="s">
        <v>1</v>
      </c>
      <c r="I3" s="21">
        <v>15</v>
      </c>
    </row>
    <row r="4" spans="1:9" ht="13.8" x14ac:dyDescent="0.25">
      <c r="A4" s="83" t="s">
        <v>13</v>
      </c>
      <c r="B4" s="81"/>
      <c r="C4" s="2" t="s">
        <v>26</v>
      </c>
      <c r="D4" s="9" t="s">
        <v>14</v>
      </c>
      <c r="E4" s="2" t="s">
        <v>30</v>
      </c>
      <c r="F4" s="1" t="s">
        <v>15</v>
      </c>
      <c r="G4" s="11" t="s">
        <v>3</v>
      </c>
      <c r="H4" s="4" t="s">
        <v>16</v>
      </c>
      <c r="I4" s="22">
        <f>COUNTIF(G8:G40, "WARNING")</f>
        <v>0</v>
      </c>
    </row>
    <row r="5" spans="1:9" ht="13.8" x14ac:dyDescent="0.25">
      <c r="A5" s="80" t="s">
        <v>17</v>
      </c>
      <c r="B5" s="81"/>
      <c r="C5" s="80"/>
      <c r="D5" s="82"/>
      <c r="E5" s="82"/>
      <c r="F5" s="82"/>
      <c r="G5" s="81"/>
      <c r="H5" s="12" t="s">
        <v>18</v>
      </c>
      <c r="I5" s="23">
        <f>SUM(I2:I4:I3)</f>
        <v>24</v>
      </c>
    </row>
    <row r="6" spans="1:9" ht="13.8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96.6" x14ac:dyDescent="0.25">
      <c r="A7" s="15" t="s">
        <v>231</v>
      </c>
      <c r="B7" s="16" t="s">
        <v>235</v>
      </c>
      <c r="C7" s="36" t="s">
        <v>232</v>
      </c>
      <c r="D7" s="17" t="s">
        <v>233</v>
      </c>
      <c r="E7" s="16" t="s">
        <v>245</v>
      </c>
      <c r="F7" s="17" t="s">
        <v>234</v>
      </c>
      <c r="G7" s="18" t="s">
        <v>0</v>
      </c>
      <c r="H7" s="37"/>
      <c r="I7" s="7"/>
    </row>
    <row r="8" spans="1:9" ht="96.6" x14ac:dyDescent="0.25">
      <c r="A8" s="15" t="s">
        <v>239</v>
      </c>
      <c r="B8" s="16" t="s">
        <v>236</v>
      </c>
      <c r="C8" s="39" t="s">
        <v>168</v>
      </c>
      <c r="D8" s="17" t="s">
        <v>237</v>
      </c>
      <c r="E8" s="16" t="s">
        <v>244</v>
      </c>
      <c r="F8" s="17" t="s">
        <v>238</v>
      </c>
      <c r="G8" s="18" t="s">
        <v>1</v>
      </c>
      <c r="H8" s="37"/>
      <c r="I8" s="7"/>
    </row>
    <row r="9" spans="1:9" ht="96.6" x14ac:dyDescent="0.25">
      <c r="A9" s="15" t="s">
        <v>240</v>
      </c>
      <c r="B9" s="16" t="s">
        <v>241</v>
      </c>
      <c r="C9" s="36" t="s">
        <v>176</v>
      </c>
      <c r="D9" s="16" t="s">
        <v>242</v>
      </c>
      <c r="E9" s="16" t="s">
        <v>243</v>
      </c>
      <c r="F9" s="16" t="s">
        <v>238</v>
      </c>
      <c r="G9" s="40" t="s">
        <v>1</v>
      </c>
      <c r="H9" s="32"/>
      <c r="I9" s="7"/>
    </row>
    <row r="10" spans="1:9" ht="82.8" x14ac:dyDescent="0.25">
      <c r="A10" s="61" t="s">
        <v>246</v>
      </c>
      <c r="B10" s="54" t="s">
        <v>247</v>
      </c>
      <c r="C10" s="52" t="s">
        <v>248</v>
      </c>
      <c r="D10" s="54" t="s">
        <v>249</v>
      </c>
      <c r="E10" s="54" t="s">
        <v>250</v>
      </c>
      <c r="F10" s="54" t="s">
        <v>251</v>
      </c>
      <c r="G10" s="63" t="s">
        <v>1</v>
      </c>
    </row>
    <row r="11" spans="1:9" ht="96.6" x14ac:dyDescent="0.25">
      <c r="A11" s="61" t="s">
        <v>252</v>
      </c>
      <c r="B11" s="54" t="s">
        <v>253</v>
      </c>
      <c r="C11" s="65" t="s">
        <v>254</v>
      </c>
      <c r="D11" s="54" t="s">
        <v>259</v>
      </c>
      <c r="E11" s="54" t="s">
        <v>255</v>
      </c>
      <c r="F11" s="66" t="s">
        <v>256</v>
      </c>
      <c r="G11" s="67" t="s">
        <v>0</v>
      </c>
    </row>
    <row r="12" spans="1:9" ht="96.6" x14ac:dyDescent="0.25">
      <c r="A12" s="61" t="s">
        <v>257</v>
      </c>
      <c r="B12" s="54" t="s">
        <v>253</v>
      </c>
      <c r="C12" s="65" t="s">
        <v>258</v>
      </c>
      <c r="D12" s="54" t="s">
        <v>259</v>
      </c>
      <c r="E12" s="54" t="s">
        <v>271</v>
      </c>
      <c r="F12" s="62" t="s">
        <v>272</v>
      </c>
      <c r="G12" s="63" t="s">
        <v>1</v>
      </c>
    </row>
    <row r="13" spans="1:9" ht="132" x14ac:dyDescent="0.25">
      <c r="A13" s="61" t="s">
        <v>261</v>
      </c>
      <c r="B13" s="54" t="s">
        <v>253</v>
      </c>
      <c r="C13" s="68" t="s">
        <v>262</v>
      </c>
      <c r="D13" s="65" t="s">
        <v>263</v>
      </c>
      <c r="E13" s="54" t="s">
        <v>271</v>
      </c>
      <c r="F13" s="65" t="s">
        <v>274</v>
      </c>
      <c r="G13" s="69" t="s">
        <v>264</v>
      </c>
    </row>
    <row r="14" spans="1:9" ht="132" x14ac:dyDescent="0.25">
      <c r="A14" s="61" t="s">
        <v>265</v>
      </c>
      <c r="B14" s="65" t="s">
        <v>266</v>
      </c>
      <c r="C14" s="68" t="s">
        <v>267</v>
      </c>
      <c r="D14" s="52" t="s">
        <v>263</v>
      </c>
      <c r="E14" s="65" t="s">
        <v>271</v>
      </c>
      <c r="F14" s="65" t="s">
        <v>272</v>
      </c>
      <c r="G14" s="56" t="s">
        <v>268</v>
      </c>
    </row>
    <row r="15" spans="1:9" ht="132" x14ac:dyDescent="0.25">
      <c r="A15" s="61" t="s">
        <v>269</v>
      </c>
      <c r="B15" s="65" t="s">
        <v>266</v>
      </c>
      <c r="C15" s="68" t="s">
        <v>270</v>
      </c>
      <c r="D15" s="65" t="s">
        <v>263</v>
      </c>
      <c r="E15" s="65" t="s">
        <v>273</v>
      </c>
      <c r="F15" s="65" t="s">
        <v>275</v>
      </c>
      <c r="G15" s="56" t="s">
        <v>264</v>
      </c>
    </row>
    <row r="16" spans="1:9" ht="132" x14ac:dyDescent="0.25">
      <c r="A16" s="61" t="s">
        <v>276</v>
      </c>
      <c r="B16" s="65" t="s">
        <v>266</v>
      </c>
      <c r="C16" s="68" t="s">
        <v>277</v>
      </c>
      <c r="D16" s="65" t="s">
        <v>263</v>
      </c>
      <c r="E16" s="65" t="s">
        <v>273</v>
      </c>
      <c r="F16" s="65" t="s">
        <v>275</v>
      </c>
      <c r="G16" s="72" t="s">
        <v>1</v>
      </c>
    </row>
    <row r="17" spans="1:7" ht="132" x14ac:dyDescent="0.25">
      <c r="A17" s="61" t="s">
        <v>278</v>
      </c>
      <c r="B17" s="65" t="s">
        <v>266</v>
      </c>
      <c r="C17" s="68" t="s">
        <v>279</v>
      </c>
      <c r="D17" s="65" t="s">
        <v>263</v>
      </c>
      <c r="E17" s="65" t="s">
        <v>273</v>
      </c>
      <c r="F17" s="65" t="s">
        <v>275</v>
      </c>
      <c r="G17" s="72" t="s">
        <v>1</v>
      </c>
    </row>
    <row r="18" spans="1:7" ht="132" x14ac:dyDescent="0.25">
      <c r="A18" s="64" t="s">
        <v>280</v>
      </c>
      <c r="B18" s="65" t="s">
        <v>266</v>
      </c>
      <c r="C18" s="68" t="s">
        <v>281</v>
      </c>
      <c r="D18" s="65" t="s">
        <v>263</v>
      </c>
      <c r="E18" s="65" t="s">
        <v>273</v>
      </c>
      <c r="F18" s="65" t="s">
        <v>275</v>
      </c>
      <c r="G18" s="56" t="s">
        <v>268</v>
      </c>
    </row>
    <row r="19" spans="1:7" ht="132" x14ac:dyDescent="0.25">
      <c r="A19" s="62" t="s">
        <v>282</v>
      </c>
      <c r="B19" s="65" t="s">
        <v>266</v>
      </c>
      <c r="C19" s="68" t="s">
        <v>283</v>
      </c>
      <c r="D19" s="65" t="s">
        <v>263</v>
      </c>
      <c r="E19" s="65" t="s">
        <v>273</v>
      </c>
      <c r="F19" s="65" t="s">
        <v>275</v>
      </c>
      <c r="G19" s="56" t="s">
        <v>268</v>
      </c>
    </row>
    <row r="20" spans="1:7" ht="105.6" x14ac:dyDescent="0.25">
      <c r="A20" s="62" t="s">
        <v>291</v>
      </c>
      <c r="B20" s="65" t="s">
        <v>289</v>
      </c>
      <c r="C20" s="68" t="s">
        <v>284</v>
      </c>
      <c r="D20" s="65" t="s">
        <v>285</v>
      </c>
      <c r="E20" s="65" t="s">
        <v>286</v>
      </c>
      <c r="F20" s="65" t="s">
        <v>287</v>
      </c>
      <c r="G20" s="73" t="s">
        <v>327</v>
      </c>
    </row>
    <row r="21" spans="1:7" ht="105.6" x14ac:dyDescent="0.25">
      <c r="A21" s="62" t="s">
        <v>292</v>
      </c>
      <c r="B21" s="65" t="s">
        <v>288</v>
      </c>
      <c r="C21" s="68" t="s">
        <v>290</v>
      </c>
      <c r="D21" s="65" t="s">
        <v>285</v>
      </c>
      <c r="E21" s="65" t="s">
        <v>286</v>
      </c>
      <c r="F21" s="65" t="s">
        <v>287</v>
      </c>
      <c r="G21" s="73" t="s">
        <v>327</v>
      </c>
    </row>
    <row r="22" spans="1:7" ht="105.6" x14ac:dyDescent="0.25">
      <c r="A22" s="62" t="s">
        <v>297</v>
      </c>
      <c r="B22" s="65" t="s">
        <v>293</v>
      </c>
      <c r="C22" s="68" t="s">
        <v>284</v>
      </c>
      <c r="D22" s="65" t="s">
        <v>294</v>
      </c>
      <c r="E22" s="65" t="s">
        <v>295</v>
      </c>
      <c r="F22" s="65" t="s">
        <v>296</v>
      </c>
      <c r="G22" s="73" t="s">
        <v>327</v>
      </c>
    </row>
    <row r="23" spans="1:7" ht="105.6" x14ac:dyDescent="0.25">
      <c r="A23" s="62" t="s">
        <v>298</v>
      </c>
      <c r="B23" s="65" t="s">
        <v>299</v>
      </c>
      <c r="C23" s="68" t="s">
        <v>300</v>
      </c>
      <c r="D23" s="65" t="s">
        <v>301</v>
      </c>
      <c r="E23" s="65" t="s">
        <v>302</v>
      </c>
      <c r="F23" s="65" t="s">
        <v>303</v>
      </c>
      <c r="G23" s="73" t="s">
        <v>327</v>
      </c>
    </row>
    <row r="24" spans="1:7" ht="118.8" x14ac:dyDescent="0.25">
      <c r="A24" s="68" t="s">
        <v>312</v>
      </c>
      <c r="B24" s="65" t="s">
        <v>304</v>
      </c>
      <c r="C24" s="68" t="s">
        <v>300</v>
      </c>
      <c r="D24" s="65" t="s">
        <v>305</v>
      </c>
      <c r="E24" s="65" t="s">
        <v>309</v>
      </c>
      <c r="F24" s="68" t="s">
        <v>306</v>
      </c>
      <c r="G24" s="73" t="s">
        <v>327</v>
      </c>
    </row>
    <row r="25" spans="1:7" ht="79.2" x14ac:dyDescent="0.25">
      <c r="A25" s="62" t="s">
        <v>313</v>
      </c>
      <c r="B25" s="65" t="s">
        <v>319</v>
      </c>
      <c r="C25" s="65" t="s">
        <v>307</v>
      </c>
      <c r="D25" s="65" t="s">
        <v>308</v>
      </c>
      <c r="E25" s="68" t="s">
        <v>310</v>
      </c>
      <c r="F25" s="68" t="s">
        <v>311</v>
      </c>
      <c r="G25" s="56" t="s">
        <v>159</v>
      </c>
    </row>
    <row r="26" spans="1:7" ht="79.2" x14ac:dyDescent="0.25">
      <c r="A26" s="62" t="s">
        <v>314</v>
      </c>
      <c r="B26" s="65" t="s">
        <v>320</v>
      </c>
      <c r="C26" s="68" t="s">
        <v>315</v>
      </c>
      <c r="D26" s="65" t="s">
        <v>316</v>
      </c>
      <c r="E26" s="68" t="s">
        <v>310</v>
      </c>
      <c r="F26" s="68" t="s">
        <v>311</v>
      </c>
      <c r="G26" s="56" t="s">
        <v>159</v>
      </c>
    </row>
    <row r="27" spans="1:7" ht="92.4" x14ac:dyDescent="0.25">
      <c r="A27" s="62" t="s">
        <v>317</v>
      </c>
      <c r="B27" s="65" t="s">
        <v>318</v>
      </c>
      <c r="C27" s="68" t="s">
        <v>321</v>
      </c>
      <c r="D27" s="65" t="s">
        <v>322</v>
      </c>
      <c r="E27" s="68" t="s">
        <v>310</v>
      </c>
      <c r="F27" s="68" t="s">
        <v>323</v>
      </c>
      <c r="G27" s="56" t="s">
        <v>159</v>
      </c>
    </row>
    <row r="28" spans="1:7" ht="79.2" x14ac:dyDescent="0.25">
      <c r="A28" s="71" t="s">
        <v>326</v>
      </c>
      <c r="B28" s="65" t="s">
        <v>324</v>
      </c>
      <c r="C28" s="68" t="s">
        <v>321</v>
      </c>
      <c r="D28" s="65" t="s">
        <v>325</v>
      </c>
      <c r="E28" s="68" t="s">
        <v>310</v>
      </c>
      <c r="F28" s="68" t="s">
        <v>323</v>
      </c>
      <c r="G28" s="70" t="s">
        <v>1</v>
      </c>
    </row>
    <row r="29" spans="1:7" ht="79.2" x14ac:dyDescent="0.25">
      <c r="A29" s="62" t="s">
        <v>326</v>
      </c>
      <c r="B29" s="65" t="s">
        <v>381</v>
      </c>
      <c r="C29" s="68" t="s">
        <v>372</v>
      </c>
      <c r="D29" s="50" t="s">
        <v>375</v>
      </c>
      <c r="E29" s="65" t="s">
        <v>376</v>
      </c>
      <c r="F29" s="68" t="s">
        <v>377</v>
      </c>
      <c r="G29" s="79" t="s">
        <v>0</v>
      </c>
    </row>
    <row r="30" spans="1:7" ht="79.2" x14ac:dyDescent="0.25">
      <c r="A30" s="62" t="s">
        <v>382</v>
      </c>
      <c r="B30" s="50" t="s">
        <v>383</v>
      </c>
      <c r="C30" s="68" t="s">
        <v>372</v>
      </c>
      <c r="D30" s="50" t="s">
        <v>375</v>
      </c>
      <c r="E30" s="50" t="s">
        <v>384</v>
      </c>
      <c r="F30" s="65" t="s">
        <v>385</v>
      </c>
      <c r="G30" s="79" t="s">
        <v>0</v>
      </c>
    </row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G8:G9">
    <cfRule type="cellIs" dxfId="47" priority="13" operator="equal">
      <formula>"FAIL"</formula>
    </cfRule>
  </conditionalFormatting>
  <conditionalFormatting sqref="G8:G9">
    <cfRule type="cellIs" dxfId="46" priority="14" operator="equal">
      <formula>"PASS"</formula>
    </cfRule>
  </conditionalFormatting>
  <conditionalFormatting sqref="G8:G9">
    <cfRule type="cellIs" dxfId="45" priority="15" operator="equal">
      <formula>"WARNING"</formula>
    </cfRule>
  </conditionalFormatting>
  <conditionalFormatting sqref="G8:G9">
    <cfRule type="containsBlanks" dxfId="44" priority="16">
      <formula>LEN(TRIM(G8))=0</formula>
    </cfRule>
  </conditionalFormatting>
  <conditionalFormatting sqref="I2">
    <cfRule type="cellIs" dxfId="43" priority="9" operator="equal">
      <formula>"FAIL"</formula>
    </cfRule>
  </conditionalFormatting>
  <conditionalFormatting sqref="I2">
    <cfRule type="cellIs" dxfId="42" priority="10" operator="equal">
      <formula>"PASS"</formula>
    </cfRule>
  </conditionalFormatting>
  <conditionalFormatting sqref="I2">
    <cfRule type="cellIs" dxfId="41" priority="11" operator="equal">
      <formula>"WARNING"</formula>
    </cfRule>
  </conditionalFormatting>
  <conditionalFormatting sqref="I2">
    <cfRule type="containsBlanks" dxfId="40" priority="12">
      <formula>LEN(TRIM(I2))=0</formula>
    </cfRule>
  </conditionalFormatting>
  <conditionalFormatting sqref="I3">
    <cfRule type="cellIs" dxfId="39" priority="5" operator="equal">
      <formula>"FAIL"</formula>
    </cfRule>
  </conditionalFormatting>
  <conditionalFormatting sqref="I3">
    <cfRule type="cellIs" dxfId="38" priority="6" operator="equal">
      <formula>"PASS"</formula>
    </cfRule>
  </conditionalFormatting>
  <conditionalFormatting sqref="I3">
    <cfRule type="cellIs" dxfId="37" priority="7" operator="equal">
      <formula>"WARNING"</formula>
    </cfRule>
  </conditionalFormatting>
  <conditionalFormatting sqref="I3">
    <cfRule type="containsBlanks" dxfId="36" priority="8">
      <formula>LEN(TRIM(I3))=0</formula>
    </cfRule>
  </conditionalFormatting>
  <conditionalFormatting sqref="G7">
    <cfRule type="cellIs" dxfId="35" priority="1" operator="equal">
      <formula>"FAIL"</formula>
    </cfRule>
  </conditionalFormatting>
  <conditionalFormatting sqref="G7">
    <cfRule type="cellIs" dxfId="34" priority="2" operator="equal">
      <formula>"PASS"</formula>
    </cfRule>
  </conditionalFormatting>
  <conditionalFormatting sqref="G7">
    <cfRule type="cellIs" dxfId="33" priority="3" operator="equal">
      <formula>"WARNING"</formula>
    </cfRule>
  </conditionalFormatting>
  <conditionalFormatting sqref="G7">
    <cfRule type="containsBlanks" dxfId="32" priority="4">
      <formula>LEN(TRIM(G7))=0</formula>
    </cfRule>
  </conditionalFormatting>
  <dataValidations count="1">
    <dataValidation type="list" allowBlank="1" showInputMessage="1" showErrorMessage="1" prompt="Click and enter a value from the list of items" sqref="G7:G9" xr:uid="{7517840F-1B95-4412-BDEF-AD5E10A6E11C}">
      <formula1>"PASS,FAIL,WARNING"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59B3-9E20-46BB-87D6-EBF68DA0FD7F}">
  <dimension ref="A1:I10"/>
  <sheetViews>
    <sheetView workbookViewId="0">
      <selection activeCell="C2" sqref="C2"/>
    </sheetView>
  </sheetViews>
  <sheetFormatPr defaultRowHeight="13.2" x14ac:dyDescent="0.25"/>
  <cols>
    <col min="1" max="1" width="18.109375" customWidth="1"/>
    <col min="2" max="2" width="22.5546875" customWidth="1"/>
    <col min="3" max="3" width="30.33203125" customWidth="1"/>
    <col min="4" max="4" width="23.6640625" customWidth="1"/>
    <col min="5" max="5" width="21.5546875" customWidth="1"/>
    <col min="6" max="6" width="29.21875" customWidth="1"/>
    <col min="7" max="7" width="18.6640625" customWidth="1"/>
    <col min="8" max="8" width="16.44140625" customWidth="1"/>
    <col min="9" max="9" width="17.21875" customWidth="1"/>
  </cols>
  <sheetData>
    <row r="1" spans="1:9" ht="13.8" x14ac:dyDescent="0.25">
      <c r="A1" s="84" t="s">
        <v>4</v>
      </c>
      <c r="B1" s="81"/>
      <c r="C1" s="1" t="s">
        <v>29</v>
      </c>
      <c r="D1" s="4" t="s">
        <v>5</v>
      </c>
      <c r="E1" s="5">
        <v>44959</v>
      </c>
      <c r="F1" s="6" t="s">
        <v>6</v>
      </c>
      <c r="G1" s="5">
        <v>44959</v>
      </c>
      <c r="H1" s="85" t="s">
        <v>7</v>
      </c>
      <c r="I1" s="81"/>
    </row>
    <row r="2" spans="1:9" ht="13.8" x14ac:dyDescent="0.25">
      <c r="A2" s="83" t="s">
        <v>8</v>
      </c>
      <c r="B2" s="81"/>
      <c r="C2" s="2" t="s">
        <v>328</v>
      </c>
      <c r="D2" s="4" t="s">
        <v>9</v>
      </c>
      <c r="E2" s="5" t="s">
        <v>27</v>
      </c>
      <c r="F2" s="8" t="s">
        <v>10</v>
      </c>
      <c r="G2" s="5" t="s">
        <v>28</v>
      </c>
      <c r="H2" s="4" t="s">
        <v>0</v>
      </c>
      <c r="I2" s="41">
        <f>COUNTIF(G7:G40, "PASS")</f>
        <v>0</v>
      </c>
    </row>
    <row r="3" spans="1:9" ht="13.8" x14ac:dyDescent="0.25">
      <c r="A3" s="83"/>
      <c r="B3" s="81"/>
      <c r="C3" s="2"/>
      <c r="D3" s="9" t="s">
        <v>11</v>
      </c>
      <c r="E3" s="3" t="s">
        <v>30</v>
      </c>
      <c r="F3" s="1" t="s">
        <v>12</v>
      </c>
      <c r="G3" s="2">
        <v>1</v>
      </c>
      <c r="H3" s="10" t="s">
        <v>1</v>
      </c>
      <c r="I3" s="21">
        <v>4</v>
      </c>
    </row>
    <row r="4" spans="1:9" ht="13.8" x14ac:dyDescent="0.25">
      <c r="A4" s="83" t="s">
        <v>13</v>
      </c>
      <c r="B4" s="81"/>
      <c r="C4" s="2" t="s">
        <v>26</v>
      </c>
      <c r="D4" s="9" t="s">
        <v>14</v>
      </c>
      <c r="E4" s="2" t="s">
        <v>30</v>
      </c>
      <c r="F4" s="1" t="s">
        <v>15</v>
      </c>
      <c r="G4" s="11" t="s">
        <v>3</v>
      </c>
      <c r="H4" s="4" t="s">
        <v>16</v>
      </c>
      <c r="I4" s="22">
        <f>COUNTIF(G8:G40, "WARNING")</f>
        <v>0</v>
      </c>
    </row>
    <row r="5" spans="1:9" ht="13.8" x14ac:dyDescent="0.25">
      <c r="A5" s="80" t="s">
        <v>17</v>
      </c>
      <c r="B5" s="81"/>
      <c r="C5" s="80"/>
      <c r="D5" s="82"/>
      <c r="E5" s="82"/>
      <c r="F5" s="82"/>
      <c r="G5" s="81"/>
      <c r="H5" s="12" t="s">
        <v>18</v>
      </c>
      <c r="I5" s="23">
        <f>SUM(I2:I4:I3)</f>
        <v>4</v>
      </c>
    </row>
    <row r="6" spans="1:9" ht="13.8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69" x14ac:dyDescent="0.25">
      <c r="A7" s="15" t="s">
        <v>329</v>
      </c>
      <c r="B7" s="16" t="s">
        <v>330</v>
      </c>
      <c r="C7" s="36" t="s">
        <v>331</v>
      </c>
      <c r="D7" s="17" t="s">
        <v>332</v>
      </c>
      <c r="E7" s="16" t="s">
        <v>333</v>
      </c>
      <c r="F7" s="17" t="s">
        <v>334</v>
      </c>
      <c r="G7" s="18" t="s">
        <v>1</v>
      </c>
      <c r="H7" s="37"/>
      <c r="I7" s="7"/>
    </row>
    <row r="8" spans="1:9" ht="69" x14ac:dyDescent="0.25">
      <c r="A8" s="15" t="s">
        <v>335</v>
      </c>
      <c r="B8" s="16" t="s">
        <v>330</v>
      </c>
      <c r="C8" s="74" t="s">
        <v>336</v>
      </c>
      <c r="D8" s="17" t="s">
        <v>332</v>
      </c>
      <c r="E8" s="16" t="s">
        <v>333</v>
      </c>
      <c r="F8" s="17" t="s">
        <v>260</v>
      </c>
      <c r="G8" s="18" t="s">
        <v>1</v>
      </c>
      <c r="H8" s="37"/>
      <c r="I8" s="7"/>
    </row>
    <row r="9" spans="1:9" ht="69" x14ac:dyDescent="0.25">
      <c r="A9" s="15" t="s">
        <v>337</v>
      </c>
      <c r="B9" s="16" t="s">
        <v>330</v>
      </c>
      <c r="C9" s="36" t="s">
        <v>338</v>
      </c>
      <c r="D9" s="16" t="s">
        <v>332</v>
      </c>
      <c r="E9" s="16" t="s">
        <v>333</v>
      </c>
      <c r="F9" s="16" t="s">
        <v>260</v>
      </c>
      <c r="G9" s="40" t="s">
        <v>1</v>
      </c>
      <c r="H9" s="32"/>
      <c r="I9" s="7"/>
    </row>
    <row r="10" spans="1:9" ht="69" x14ac:dyDescent="0.25">
      <c r="A10" s="75" t="s">
        <v>339</v>
      </c>
      <c r="B10" s="54" t="s">
        <v>340</v>
      </c>
      <c r="C10" s="77" t="s">
        <v>341</v>
      </c>
      <c r="D10" s="54" t="s">
        <v>342</v>
      </c>
      <c r="E10" s="54" t="s">
        <v>343</v>
      </c>
      <c r="F10" s="54" t="s">
        <v>260</v>
      </c>
      <c r="G10" s="76" t="s">
        <v>1</v>
      </c>
    </row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G8:G9">
    <cfRule type="cellIs" dxfId="31" priority="13" operator="equal">
      <formula>"FAIL"</formula>
    </cfRule>
  </conditionalFormatting>
  <conditionalFormatting sqref="G8:G9">
    <cfRule type="cellIs" dxfId="30" priority="14" operator="equal">
      <formula>"PASS"</formula>
    </cfRule>
  </conditionalFormatting>
  <conditionalFormatting sqref="G8:G9">
    <cfRule type="cellIs" dxfId="29" priority="15" operator="equal">
      <formula>"WARNING"</formula>
    </cfRule>
  </conditionalFormatting>
  <conditionalFormatting sqref="G8:G9">
    <cfRule type="containsBlanks" dxfId="28" priority="16">
      <formula>LEN(TRIM(G8))=0</formula>
    </cfRule>
  </conditionalFormatting>
  <conditionalFormatting sqref="I2">
    <cfRule type="cellIs" dxfId="27" priority="9" operator="equal">
      <formula>"FAIL"</formula>
    </cfRule>
  </conditionalFormatting>
  <conditionalFormatting sqref="I2">
    <cfRule type="cellIs" dxfId="26" priority="10" operator="equal">
      <formula>"PASS"</formula>
    </cfRule>
  </conditionalFormatting>
  <conditionalFormatting sqref="I2">
    <cfRule type="cellIs" dxfId="25" priority="11" operator="equal">
      <formula>"WARNING"</formula>
    </cfRule>
  </conditionalFormatting>
  <conditionalFormatting sqref="I2">
    <cfRule type="containsBlanks" dxfId="24" priority="12">
      <formula>LEN(TRIM(I2))=0</formula>
    </cfRule>
  </conditionalFormatting>
  <conditionalFormatting sqref="I3">
    <cfRule type="cellIs" dxfId="23" priority="5" operator="equal">
      <formula>"FAIL"</formula>
    </cfRule>
  </conditionalFormatting>
  <conditionalFormatting sqref="I3">
    <cfRule type="cellIs" dxfId="22" priority="6" operator="equal">
      <formula>"PASS"</formula>
    </cfRule>
  </conditionalFormatting>
  <conditionalFormatting sqref="I3">
    <cfRule type="cellIs" dxfId="21" priority="7" operator="equal">
      <formula>"WARNING"</formula>
    </cfRule>
  </conditionalFormatting>
  <conditionalFormatting sqref="I3">
    <cfRule type="containsBlanks" dxfId="20" priority="8">
      <formula>LEN(TRIM(I3))=0</formula>
    </cfRule>
  </conditionalFormatting>
  <conditionalFormatting sqref="G7">
    <cfRule type="cellIs" dxfId="19" priority="1" operator="equal">
      <formula>"FAIL"</formula>
    </cfRule>
  </conditionalFormatting>
  <conditionalFormatting sqref="G7">
    <cfRule type="cellIs" dxfId="18" priority="2" operator="equal">
      <formula>"PASS"</formula>
    </cfRule>
  </conditionalFormatting>
  <conditionalFormatting sqref="G7">
    <cfRule type="cellIs" dxfId="17" priority="3" operator="equal">
      <formula>"WARNING"</formula>
    </cfRule>
  </conditionalFormatting>
  <conditionalFormatting sqref="G7">
    <cfRule type="containsBlanks" dxfId="16" priority="4">
      <formula>LEN(TRIM(G7))=0</formula>
    </cfRule>
  </conditionalFormatting>
  <dataValidations count="1">
    <dataValidation type="list" allowBlank="1" showInputMessage="1" showErrorMessage="1" prompt="Click and enter a value from the list of items" sqref="G7:G9" xr:uid="{8BBB1F8D-AA9C-42EC-9CA7-772AA2240120}">
      <formula1>"PASS,FAIL,WARNING"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3D81-03D3-4F69-8A39-C42F1FD96E23}">
  <dimension ref="A1:I12"/>
  <sheetViews>
    <sheetView workbookViewId="0">
      <selection activeCell="F8" sqref="F8"/>
    </sheetView>
  </sheetViews>
  <sheetFormatPr defaultRowHeight="13.2" x14ac:dyDescent="0.25"/>
  <cols>
    <col min="1" max="1" width="25.77734375" customWidth="1"/>
    <col min="2" max="2" width="22.6640625" customWidth="1"/>
    <col min="3" max="3" width="22" customWidth="1"/>
    <col min="4" max="4" width="19.44140625" customWidth="1"/>
    <col min="5" max="5" width="18.33203125" customWidth="1"/>
    <col min="6" max="6" width="17.44140625" customWidth="1"/>
    <col min="7" max="7" width="24.6640625" customWidth="1"/>
    <col min="8" max="8" width="20.77734375" customWidth="1"/>
    <col min="9" max="9" width="24.109375" customWidth="1"/>
  </cols>
  <sheetData>
    <row r="1" spans="1:9" ht="13.8" x14ac:dyDescent="0.25">
      <c r="A1" s="84" t="s">
        <v>4</v>
      </c>
      <c r="B1" s="81"/>
      <c r="C1" s="1" t="s">
        <v>29</v>
      </c>
      <c r="D1" s="4" t="s">
        <v>5</v>
      </c>
      <c r="E1" s="5">
        <v>44959</v>
      </c>
      <c r="F1" s="6" t="s">
        <v>6</v>
      </c>
      <c r="G1" s="5">
        <v>44959</v>
      </c>
      <c r="H1" s="85" t="s">
        <v>7</v>
      </c>
      <c r="I1" s="81"/>
    </row>
    <row r="2" spans="1:9" ht="27.6" x14ac:dyDescent="0.25">
      <c r="A2" s="83" t="s">
        <v>8</v>
      </c>
      <c r="B2" s="81"/>
      <c r="C2" s="2" t="s">
        <v>344</v>
      </c>
      <c r="D2" s="4" t="s">
        <v>9</v>
      </c>
      <c r="E2" s="5" t="s">
        <v>27</v>
      </c>
      <c r="F2" s="8" t="s">
        <v>10</v>
      </c>
      <c r="G2" s="5" t="s">
        <v>28</v>
      </c>
      <c r="H2" s="4" t="s">
        <v>0</v>
      </c>
      <c r="I2" s="41">
        <f>COUNTIF(G7:G41, "PASS")</f>
        <v>2</v>
      </c>
    </row>
    <row r="3" spans="1:9" ht="27.6" x14ac:dyDescent="0.25">
      <c r="A3" s="83"/>
      <c r="B3" s="81"/>
      <c r="C3" s="2"/>
      <c r="D3" s="9" t="s">
        <v>11</v>
      </c>
      <c r="E3" s="3" t="s">
        <v>30</v>
      </c>
      <c r="F3" s="1" t="s">
        <v>12</v>
      </c>
      <c r="G3" s="2">
        <v>1</v>
      </c>
      <c r="H3" s="10" t="s">
        <v>1</v>
      </c>
      <c r="I3" s="21">
        <f>COUNTIF(G8:G41, "Fail")</f>
        <v>4</v>
      </c>
    </row>
    <row r="4" spans="1:9" ht="27.6" x14ac:dyDescent="0.25">
      <c r="A4" s="83" t="s">
        <v>13</v>
      </c>
      <c r="B4" s="81"/>
      <c r="C4" s="2" t="s">
        <v>26</v>
      </c>
      <c r="D4" s="9" t="s">
        <v>14</v>
      </c>
      <c r="E4" s="2" t="s">
        <v>30</v>
      </c>
      <c r="F4" s="1" t="s">
        <v>15</v>
      </c>
      <c r="G4" s="11" t="s">
        <v>3</v>
      </c>
      <c r="H4" s="4" t="s">
        <v>16</v>
      </c>
      <c r="I4" s="22">
        <f>COUNTIF(G8:G41, "WARNING")</f>
        <v>0</v>
      </c>
    </row>
    <row r="5" spans="1:9" ht="13.8" x14ac:dyDescent="0.25">
      <c r="A5" s="80" t="s">
        <v>17</v>
      </c>
      <c r="B5" s="81"/>
      <c r="C5" s="80"/>
      <c r="D5" s="82"/>
      <c r="E5" s="82"/>
      <c r="F5" s="82"/>
      <c r="G5" s="81"/>
      <c r="H5" s="12" t="s">
        <v>18</v>
      </c>
      <c r="I5" s="23">
        <f>SUM(I2:I4:I3)</f>
        <v>6</v>
      </c>
    </row>
    <row r="6" spans="1:9" ht="13.8" x14ac:dyDescent="0.25">
      <c r="A6" s="13" t="s">
        <v>19</v>
      </c>
      <c r="B6" s="14" t="s">
        <v>20</v>
      </c>
      <c r="C6" s="14" t="s">
        <v>23</v>
      </c>
      <c r="D6" s="14" t="s">
        <v>24</v>
      </c>
      <c r="E6" s="14" t="s">
        <v>21</v>
      </c>
      <c r="F6" s="14" t="s">
        <v>25</v>
      </c>
      <c r="G6" s="14" t="s">
        <v>22</v>
      </c>
      <c r="H6" s="14" t="s">
        <v>2</v>
      </c>
      <c r="I6" s="7"/>
    </row>
    <row r="7" spans="1:9" ht="96.6" x14ac:dyDescent="0.25">
      <c r="A7" s="15" t="s">
        <v>345</v>
      </c>
      <c r="B7" s="16" t="s">
        <v>346</v>
      </c>
      <c r="C7" s="36" t="s">
        <v>347</v>
      </c>
      <c r="D7" s="17" t="s">
        <v>348</v>
      </c>
      <c r="E7" s="16" t="s">
        <v>349</v>
      </c>
      <c r="F7" s="17" t="s">
        <v>350</v>
      </c>
      <c r="G7" s="18" t="s">
        <v>0</v>
      </c>
      <c r="H7" s="37"/>
      <c r="I7" s="7"/>
    </row>
    <row r="8" spans="1:9" ht="110.4" x14ac:dyDescent="0.25">
      <c r="A8" s="15" t="s">
        <v>351</v>
      </c>
      <c r="B8" s="16" t="s">
        <v>378</v>
      </c>
      <c r="C8" s="74" t="s">
        <v>352</v>
      </c>
      <c r="D8" s="17" t="s">
        <v>353</v>
      </c>
      <c r="E8" s="16" t="s">
        <v>379</v>
      </c>
      <c r="F8" s="17" t="s">
        <v>380</v>
      </c>
      <c r="G8" s="18" t="s">
        <v>1</v>
      </c>
      <c r="H8" s="37"/>
      <c r="I8" s="7"/>
    </row>
    <row r="9" spans="1:9" ht="124.2" x14ac:dyDescent="0.25">
      <c r="A9" s="15" t="s">
        <v>354</v>
      </c>
      <c r="B9" s="16" t="s">
        <v>370</v>
      </c>
      <c r="C9" s="74" t="s">
        <v>365</v>
      </c>
      <c r="D9" s="16" t="s">
        <v>366</v>
      </c>
      <c r="E9" s="16" t="s">
        <v>367</v>
      </c>
      <c r="F9" s="16" t="s">
        <v>368</v>
      </c>
      <c r="G9" s="18" t="s">
        <v>1</v>
      </c>
      <c r="H9" s="37"/>
      <c r="I9" s="7"/>
    </row>
    <row r="10" spans="1:9" ht="124.2" x14ac:dyDescent="0.25">
      <c r="A10" s="15" t="s">
        <v>369</v>
      </c>
      <c r="B10" s="16" t="s">
        <v>371</v>
      </c>
      <c r="C10" s="74" t="s">
        <v>372</v>
      </c>
      <c r="D10" s="16" t="s">
        <v>366</v>
      </c>
      <c r="E10" s="16" t="s">
        <v>373</v>
      </c>
      <c r="F10" s="16" t="s">
        <v>238</v>
      </c>
      <c r="G10" s="18" t="s">
        <v>1</v>
      </c>
      <c r="H10" s="37"/>
      <c r="I10" s="7"/>
    </row>
    <row r="11" spans="1:9" ht="110.4" x14ac:dyDescent="0.25">
      <c r="A11" s="15" t="s">
        <v>374</v>
      </c>
      <c r="B11" s="16" t="s">
        <v>355</v>
      </c>
      <c r="C11" s="36" t="s">
        <v>356</v>
      </c>
      <c r="D11" s="16" t="s">
        <v>357</v>
      </c>
      <c r="E11" s="16" t="s">
        <v>358</v>
      </c>
      <c r="F11" s="16" t="s">
        <v>359</v>
      </c>
      <c r="G11" s="40" t="s">
        <v>1</v>
      </c>
      <c r="H11" s="32"/>
      <c r="I11" s="7"/>
    </row>
    <row r="12" spans="1:9" ht="110.4" x14ac:dyDescent="0.25">
      <c r="A12" s="75" t="s">
        <v>386</v>
      </c>
      <c r="B12" s="54" t="s">
        <v>360</v>
      </c>
      <c r="C12" s="77" t="s">
        <v>361</v>
      </c>
      <c r="D12" s="54" t="s">
        <v>362</v>
      </c>
      <c r="E12" s="54" t="s">
        <v>363</v>
      </c>
      <c r="F12" s="54" t="s">
        <v>364</v>
      </c>
      <c r="G12" s="78" t="s">
        <v>0</v>
      </c>
    </row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G8:G11">
    <cfRule type="cellIs" dxfId="15" priority="13" operator="equal">
      <formula>"FAIL"</formula>
    </cfRule>
  </conditionalFormatting>
  <conditionalFormatting sqref="G8:G11">
    <cfRule type="cellIs" dxfId="14" priority="14" operator="equal">
      <formula>"PASS"</formula>
    </cfRule>
  </conditionalFormatting>
  <conditionalFormatting sqref="G8:G11">
    <cfRule type="cellIs" dxfId="13" priority="15" operator="equal">
      <formula>"WARNING"</formula>
    </cfRule>
  </conditionalFormatting>
  <conditionalFormatting sqref="G8:G11">
    <cfRule type="containsBlanks" dxfId="12" priority="16">
      <formula>LEN(TRIM(G8))=0</formula>
    </cfRule>
  </conditionalFormatting>
  <conditionalFormatting sqref="I2">
    <cfRule type="cellIs" dxfId="11" priority="9" operator="equal">
      <formula>"FAIL"</formula>
    </cfRule>
  </conditionalFormatting>
  <conditionalFormatting sqref="I2">
    <cfRule type="cellIs" dxfId="10" priority="10" operator="equal">
      <formula>"PASS"</formula>
    </cfRule>
  </conditionalFormatting>
  <conditionalFormatting sqref="I2">
    <cfRule type="cellIs" dxfId="9" priority="11" operator="equal">
      <formula>"WARNING"</formula>
    </cfRule>
  </conditionalFormatting>
  <conditionalFormatting sqref="I2">
    <cfRule type="containsBlanks" dxfId="8" priority="12">
      <formula>LEN(TRIM(I2))=0</formula>
    </cfRule>
  </conditionalFormatting>
  <conditionalFormatting sqref="I3">
    <cfRule type="cellIs" dxfId="7" priority="5" operator="equal">
      <formula>"FAIL"</formula>
    </cfRule>
  </conditionalFormatting>
  <conditionalFormatting sqref="I3">
    <cfRule type="cellIs" dxfId="6" priority="6" operator="equal">
      <formula>"PASS"</formula>
    </cfRule>
  </conditionalFormatting>
  <conditionalFormatting sqref="I3">
    <cfRule type="cellIs" dxfId="5" priority="7" operator="equal">
      <formula>"WARNING"</formula>
    </cfRule>
  </conditionalFormatting>
  <conditionalFormatting sqref="I3">
    <cfRule type="containsBlanks" dxfId="4" priority="8">
      <formula>LEN(TRIM(I3))=0</formula>
    </cfRule>
  </conditionalFormatting>
  <conditionalFormatting sqref="G7">
    <cfRule type="cellIs" dxfId="3" priority="1" operator="equal">
      <formula>"FAIL"</formula>
    </cfRule>
  </conditionalFormatting>
  <conditionalFormatting sqref="G7">
    <cfRule type="cellIs" dxfId="2" priority="2" operator="equal">
      <formula>"PASS"</formula>
    </cfRule>
  </conditionalFormatting>
  <conditionalFormatting sqref="G7">
    <cfRule type="cellIs" dxfId="1" priority="3" operator="equal">
      <formula>"WARNING"</formula>
    </cfRule>
  </conditionalFormatting>
  <conditionalFormatting sqref="G7">
    <cfRule type="containsBlanks" dxfId="0" priority="4">
      <formula>LEN(TRIM(G7))=0</formula>
    </cfRule>
  </conditionalFormatting>
  <dataValidations count="1">
    <dataValidation type="list" allowBlank="1" showInputMessage="1" showErrorMessage="1" prompt="Click and enter a value from the list of items" sqref="G7:G11" xr:uid="{EDA1E3E0-52C5-4643-AB62-4B7159705D92}">
      <formula1>"PASS,FAIL,WARNING"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Test Cases for the Registration</vt:lpstr>
      <vt:lpstr>Test Cases for the Login</vt:lpstr>
      <vt:lpstr>Test Cases for the Message </vt:lpstr>
      <vt:lpstr>Test Cases for the WalLet</vt:lpstr>
      <vt:lpstr>Test Cases for the My Post</vt:lpstr>
      <vt:lpstr>Test Cases for the My Music</vt:lpstr>
      <vt:lpstr>Test Cases for the Help</vt:lpstr>
      <vt:lpstr>Test Cases for the Home</vt:lpstr>
      <vt:lpstr>Test Cases for the Explore</vt:lpstr>
      <vt:lpstr>Test Cases for the View Profile</vt:lpstr>
      <vt:lpstr>mm</vt:lpstr>
      <vt:lpstr>verify_package_Design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</cp:lastModifiedBy>
  <cp:lastPrinted>2020-08-07T07:40:07Z</cp:lastPrinted>
  <dcterms:created xsi:type="dcterms:W3CDTF">2020-08-07T08:33:33Z</dcterms:created>
  <dcterms:modified xsi:type="dcterms:W3CDTF">2023-02-02T18:22:56Z</dcterms:modified>
</cp:coreProperties>
</file>